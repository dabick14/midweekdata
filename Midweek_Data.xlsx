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Galatians 1" sheetId="2" r:id="rId6"/>
    <sheet state="visible" name="Galatians 2" sheetId="3" r:id="rId7"/>
    <sheet state="visible" name="Galatians 3" sheetId="4" r:id="rId8"/>
    <sheet state="visible" name="Galatians 4" sheetId="5" r:id="rId9"/>
    <sheet state="visible" name="Galatians 5" sheetId="6" r:id="rId10"/>
    <sheet state="hidden" name="2 Corinthians" sheetId="7" r:id="rId11"/>
    <sheet state="hidden" name="Sheet6" sheetId="8" r:id="rId12"/>
    <sheet state="hidden" name="Sheet11" sheetId="9" r:id="rId13"/>
    <sheet state="visible" name="Galatians 6" sheetId="10" r:id="rId14"/>
    <sheet state="visible" name="Galatians 7" sheetId="11" r:id="rId15"/>
    <sheet state="visible" name="Galatians 8" sheetId="12" r:id="rId16"/>
    <sheet state="visible" name="Galatians 9" sheetId="13" r:id="rId17"/>
    <sheet state="visible" name="Colossians 1" sheetId="14" r:id="rId18"/>
    <sheet state="visible" name="Colossians 2" sheetId="15" r:id="rId19"/>
    <sheet state="visible" name="Colossians 3" sheetId="16" r:id="rId20"/>
  </sheets>
  <definedNames>
    <definedName hidden="1" localSheetId="1" name="_xlnm._FilterDatabase">'Galatians 1'!$A$2:$K$5</definedName>
    <definedName hidden="1" localSheetId="3" name="_xlnm._FilterDatabase">'Galatians 3'!$A$2:$J$9</definedName>
    <definedName hidden="1" localSheetId="4" name="_xlnm._FilterDatabase">'Galatians 4'!$A$2:$J$7</definedName>
    <definedName hidden="1" localSheetId="5" name="_xlnm._FilterDatabase">'Galatians 5'!$A$2:$J$14</definedName>
    <definedName hidden="1" localSheetId="9" name="_xlnm._FilterDatabase">'Galatians 6'!$A$2:$J$12</definedName>
    <definedName hidden="1" localSheetId="10" name="_xlnm._FilterDatabase">'Galatians 7'!$A$2:$J$13</definedName>
    <definedName hidden="1" localSheetId="11" name="_xlnm._FilterDatabase">'Galatians 8'!$A$2:$K$10</definedName>
    <definedName hidden="1" localSheetId="12" name="_xlnm._FilterDatabase">'Galatians 9'!$A$2:$K$11</definedName>
    <definedName hidden="1" localSheetId="13" name="_xlnm._FilterDatabase">'Colossians 1'!$A$2:$J$14</definedName>
    <definedName hidden="1" localSheetId="14" name="_xlnm._FilterDatabase">'Colossians 2'!$A$2:$J$9</definedName>
    <definedName hidden="1" localSheetId="15" name="_xlnm._FilterDatabase">'Colossians 3'!$A$2:$J$9</definedName>
  </definedNames>
  <calcPr/>
</workbook>
</file>

<file path=xl/sharedStrings.xml><?xml version="1.0" encoding="utf-8"?>
<sst xmlns="http://schemas.openxmlformats.org/spreadsheetml/2006/main" count="415" uniqueCount="258">
  <si>
    <t>Overseer</t>
  </si>
  <si>
    <t>Oversight Area</t>
  </si>
  <si>
    <t>No. Of Bacentas</t>
  </si>
  <si>
    <t>Att</t>
  </si>
  <si>
    <t>Income(GHS)</t>
  </si>
  <si>
    <t>Income(USD)</t>
  </si>
  <si>
    <t>No. Of Services</t>
  </si>
  <si>
    <t>Services/Bacentas</t>
  </si>
  <si>
    <t>Services Not Held</t>
  </si>
  <si>
    <t>Isaac Agyeman</t>
  </si>
  <si>
    <t>Galatians 1</t>
  </si>
  <si>
    <t>Michael Oteng</t>
  </si>
  <si>
    <t>Galatians 5</t>
  </si>
  <si>
    <t>Eric Boachie Yiadom</t>
  </si>
  <si>
    <t>Galatians 4</t>
  </si>
  <si>
    <t>Richmond Annan</t>
  </si>
  <si>
    <t>Galatians 2</t>
  </si>
  <si>
    <t>Caleb Osei-Kofi</t>
  </si>
  <si>
    <t>Galatians 8</t>
  </si>
  <si>
    <t xml:space="preserve">Divine Olubakinde </t>
  </si>
  <si>
    <t>Galatians 9</t>
  </si>
  <si>
    <t xml:space="preserve">Jesus Night - Nana Kofi Danso </t>
  </si>
  <si>
    <t>Galatians 6</t>
  </si>
  <si>
    <t>Jesus Night - Albert Gillies Heward-Mills</t>
  </si>
  <si>
    <t>Galatians 7</t>
  </si>
  <si>
    <t>Jesus Night - Joseph Teye</t>
  </si>
  <si>
    <t>Galatians 3</t>
  </si>
  <si>
    <t>Colossians 1</t>
  </si>
  <si>
    <t xml:space="preserve">Edwin Ogoe </t>
  </si>
  <si>
    <t>Colossians 2</t>
  </si>
  <si>
    <t>Nathan Kudowor</t>
  </si>
  <si>
    <t>Colossians 3</t>
  </si>
  <si>
    <t>Saturday Morning Service</t>
  </si>
  <si>
    <t>TOTAL</t>
  </si>
  <si>
    <t>GALATIANS</t>
  </si>
  <si>
    <t>Governorship</t>
  </si>
  <si>
    <t>Team Leader</t>
  </si>
  <si>
    <t xml:space="preserve">Bacentas on Vacation </t>
  </si>
  <si>
    <t>ACM 2</t>
  </si>
  <si>
    <t xml:space="preserve">Daniel Orleans-Lindsay </t>
  </si>
  <si>
    <t>ACM</t>
  </si>
  <si>
    <t>Nii Nkunim Armar</t>
  </si>
  <si>
    <t xml:space="preserve">TOTAL </t>
  </si>
  <si>
    <t>Governor</t>
  </si>
  <si>
    <t>Number of bacentas</t>
  </si>
  <si>
    <t xml:space="preserve">Number of services </t>
  </si>
  <si>
    <t>Attendance</t>
  </si>
  <si>
    <t xml:space="preserve">Income </t>
  </si>
  <si>
    <t>Services/ bacentas</t>
  </si>
  <si>
    <t>Number of services not held</t>
  </si>
  <si>
    <t>Yours and Ours</t>
  </si>
  <si>
    <t>Emmanuel Ottiboe</t>
  </si>
  <si>
    <t xml:space="preserve">UssherFort </t>
  </si>
  <si>
    <t>Ishmael Oplerm</t>
  </si>
  <si>
    <t>ATU Church</t>
  </si>
  <si>
    <t>James Pekyie</t>
  </si>
  <si>
    <t>Seth Kpelebe</t>
  </si>
  <si>
    <t>City Campus</t>
  </si>
  <si>
    <t xml:space="preserve">Adabraka </t>
  </si>
  <si>
    <t>Prince Agbesi</t>
  </si>
  <si>
    <t>ATU Adabraka</t>
  </si>
  <si>
    <t>Abednego Abbey</t>
  </si>
  <si>
    <t>Arena</t>
  </si>
  <si>
    <t xml:space="preserve">Zephanaiah Lartey </t>
  </si>
  <si>
    <t>ATU Main Campus</t>
  </si>
  <si>
    <t>Racheal Boamah</t>
  </si>
  <si>
    <t>Jamestown</t>
  </si>
  <si>
    <t>Humphrey Quaye</t>
  </si>
  <si>
    <t xml:space="preserve">Campus Anagkazo </t>
  </si>
  <si>
    <t>Nayram Gblorkpor</t>
  </si>
  <si>
    <t xml:space="preserve">Main Campus Poimen </t>
  </si>
  <si>
    <t>Theodora Waguena</t>
  </si>
  <si>
    <t xml:space="preserve">Commonwealth </t>
  </si>
  <si>
    <t>Dennis Kpogli</t>
  </si>
  <si>
    <t>Sey</t>
  </si>
  <si>
    <t>Kwesi Boadu-Amoama</t>
  </si>
  <si>
    <t>Mensah Sarbah Poimen</t>
  </si>
  <si>
    <t>Prince Okai</t>
  </si>
  <si>
    <t>Sarbah</t>
  </si>
  <si>
    <t>Joseph Teye</t>
  </si>
  <si>
    <t xml:space="preserve">UPSA Main Hostels (A&amp;B) </t>
  </si>
  <si>
    <t>Jayson Quarshie</t>
  </si>
  <si>
    <t xml:space="preserve">UPSA Campus Hostels </t>
  </si>
  <si>
    <t>Andrew Heward - Mills</t>
  </si>
  <si>
    <t>UPSA Green Hostel</t>
  </si>
  <si>
    <t>Desmond Hlorgbey</t>
  </si>
  <si>
    <t xml:space="preserve">UPSA Diaspora </t>
  </si>
  <si>
    <t>Bright Nurtey Tettey Tetteh</t>
  </si>
  <si>
    <t>Korle Bu Light</t>
  </si>
  <si>
    <t>Sonia Elolo</t>
  </si>
  <si>
    <t>Aparche</t>
  </si>
  <si>
    <t xml:space="preserve">Cyrus-Dag Stephens </t>
  </si>
  <si>
    <t>Encephal College of Health</t>
  </si>
  <si>
    <t>Samuel Tigah</t>
  </si>
  <si>
    <t>Galilea</t>
  </si>
  <si>
    <t>Maxwell Kitch</t>
  </si>
  <si>
    <t xml:space="preserve">GTUC Main Campus </t>
  </si>
  <si>
    <t>Jeremiah Ashong</t>
  </si>
  <si>
    <t>AIT Yeshua</t>
  </si>
  <si>
    <t>Shadrach Oguejiofor</t>
  </si>
  <si>
    <t>GTUC Allos 3</t>
  </si>
  <si>
    <t>Sylvester Ntumy</t>
  </si>
  <si>
    <t>AIT</t>
  </si>
  <si>
    <t>Lawrence Adetunji</t>
  </si>
  <si>
    <t>Kings/Regent</t>
  </si>
  <si>
    <t>Prince Forson</t>
  </si>
  <si>
    <t>GTUC</t>
  </si>
  <si>
    <t>Richard Manu</t>
  </si>
  <si>
    <t>GTUC Allos</t>
  </si>
  <si>
    <t>Income</t>
  </si>
  <si>
    <t>James Yartey</t>
  </si>
  <si>
    <t>Maxwell Nayan</t>
  </si>
  <si>
    <t>Felix Obeng</t>
  </si>
  <si>
    <t>Gabriel Lamptey</t>
  </si>
  <si>
    <t xml:space="preserve">Nathaniel Essilfie </t>
  </si>
  <si>
    <t>Raphael Akligo</t>
  </si>
  <si>
    <t>Kobby Lawson</t>
  </si>
  <si>
    <t>Pious Adu</t>
  </si>
  <si>
    <t xml:space="preserve">Emmanuel Acheampong </t>
  </si>
  <si>
    <t>Francis Agbodzalu</t>
  </si>
  <si>
    <t>Evans Doku</t>
  </si>
  <si>
    <t>Edna Boa Amponsem</t>
  </si>
  <si>
    <t>Kwadwo Antwi</t>
  </si>
  <si>
    <t>Jedidiah Ankamah</t>
  </si>
  <si>
    <t>11th May</t>
  </si>
  <si>
    <t>18th May</t>
  </si>
  <si>
    <t>25th May</t>
  </si>
  <si>
    <t>1st June</t>
  </si>
  <si>
    <t>MI</t>
  </si>
  <si>
    <t>SBP</t>
  </si>
  <si>
    <t>Bussing support</t>
  </si>
  <si>
    <t>Bussing cost</t>
  </si>
  <si>
    <t>Number of busses</t>
  </si>
  <si>
    <t xml:space="preserve">Support </t>
  </si>
  <si>
    <t>Kayode Akinwumi</t>
  </si>
  <si>
    <t>Pious Addu</t>
  </si>
  <si>
    <t xml:space="preserve">Gabriel Lamptey </t>
  </si>
  <si>
    <t xml:space="preserve">Kobby Lawson </t>
  </si>
  <si>
    <t xml:space="preserve">Kofi Acheampong </t>
  </si>
  <si>
    <t>Nathaniel Esssilfie</t>
  </si>
  <si>
    <t>Month</t>
  </si>
  <si>
    <t xml:space="preserve">Monthly income </t>
  </si>
  <si>
    <t>Monthly bussing cost</t>
  </si>
  <si>
    <t>August</t>
  </si>
  <si>
    <t>July</t>
  </si>
  <si>
    <t>June</t>
  </si>
  <si>
    <t>Pent Block A Annex</t>
  </si>
  <si>
    <t>Kwame Darteh</t>
  </si>
  <si>
    <t>Peter Tefuttor</t>
  </si>
  <si>
    <t>Evandy Annex</t>
  </si>
  <si>
    <t>Stephanie Seglah</t>
  </si>
  <si>
    <t>TF</t>
  </si>
  <si>
    <t>Elizabeth Obeng - Adu</t>
  </si>
  <si>
    <t>Bani</t>
  </si>
  <si>
    <t>Kojo Afriyie</t>
  </si>
  <si>
    <t>Evandy</t>
  </si>
  <si>
    <t>Delali Apedu</t>
  </si>
  <si>
    <t>Pent Old &amp; A</t>
  </si>
  <si>
    <t>Fiifi Danso</t>
  </si>
  <si>
    <t>Pent C</t>
  </si>
  <si>
    <t>Roland Cudjoe</t>
  </si>
  <si>
    <t>Pent B</t>
  </si>
  <si>
    <t>Yves Mensah</t>
  </si>
  <si>
    <t>Main Campus Dunamis</t>
  </si>
  <si>
    <t>Nana Kwame Barima</t>
  </si>
  <si>
    <t>Main campus Zogreo</t>
  </si>
  <si>
    <t>Elinam Fiagbe</t>
  </si>
  <si>
    <t>Main Campus Logos</t>
  </si>
  <si>
    <t>Erasmus Laryea</t>
  </si>
  <si>
    <t>Main Campus Haigos</t>
  </si>
  <si>
    <t xml:space="preserve">Philmorra Laryea Okorley </t>
  </si>
  <si>
    <t>Main Campus Charis</t>
  </si>
  <si>
    <t>Stephen Asare Osei</t>
  </si>
  <si>
    <t>Main Campus Parakletos</t>
  </si>
  <si>
    <t>Melissa Meledi</t>
  </si>
  <si>
    <t>Main Campus Allos</t>
  </si>
  <si>
    <t>Albert Gilles Heward-Mills</t>
  </si>
  <si>
    <t>Main Campus Proskuneo</t>
  </si>
  <si>
    <t>Isaac Baidoo</t>
  </si>
  <si>
    <t>Main Campus Tsalach</t>
  </si>
  <si>
    <t>Jennifer Aidoo</t>
  </si>
  <si>
    <t>Main Campus Pistis</t>
  </si>
  <si>
    <t xml:space="preserve">Richard Mawuli Sogbo </t>
  </si>
  <si>
    <t>Akuafo Zoe</t>
  </si>
  <si>
    <t xml:space="preserve">Enoch Bentil </t>
  </si>
  <si>
    <t>Volta Mega</t>
  </si>
  <si>
    <t>Doris Ainooh</t>
  </si>
  <si>
    <t>Legon Hall B</t>
  </si>
  <si>
    <t>Jennifer Wordi</t>
  </si>
  <si>
    <t>Akuafo</t>
  </si>
  <si>
    <t xml:space="preserve">Foanor Alloh </t>
  </si>
  <si>
    <t>Legon Hall</t>
  </si>
  <si>
    <t>Nana Ahema Forson</t>
  </si>
  <si>
    <t>Volta</t>
  </si>
  <si>
    <t xml:space="preserve">Joint Service </t>
  </si>
  <si>
    <t>ELU</t>
  </si>
  <si>
    <t>Annuel Adom</t>
  </si>
  <si>
    <t>UPSA Allos 1</t>
  </si>
  <si>
    <t>Divine Olubakinde</t>
  </si>
  <si>
    <t>UPSA Allos 2</t>
  </si>
  <si>
    <t>Herbert Aidoo</t>
  </si>
  <si>
    <t>UPSA Allos 3</t>
  </si>
  <si>
    <t xml:space="preserve">Marvelous Korsoku </t>
  </si>
  <si>
    <t>UPSA Allos 4</t>
  </si>
  <si>
    <t xml:space="preserve">Linda Tunkum </t>
  </si>
  <si>
    <t>UPSA Allos 5</t>
  </si>
  <si>
    <t xml:space="preserve">Joshua Agyemang </t>
  </si>
  <si>
    <t>UPSA Allos 6</t>
  </si>
  <si>
    <t>David Abuaku</t>
  </si>
  <si>
    <t>UPSA Allos 7</t>
  </si>
  <si>
    <t>Nancy Kubi</t>
  </si>
  <si>
    <t>UPSA Allos 8</t>
  </si>
  <si>
    <t>Blessing Umukoro</t>
  </si>
  <si>
    <t>Family Health Teshie</t>
  </si>
  <si>
    <t>Obed Owusu</t>
  </si>
  <si>
    <t>Haatso TBC</t>
  </si>
  <si>
    <t>Zenas Adarkwah Yiadom</t>
  </si>
  <si>
    <t xml:space="preserve">Wiscon Fruitful </t>
  </si>
  <si>
    <t>Thomas Dodoo</t>
  </si>
  <si>
    <t>Pantang Campus</t>
  </si>
  <si>
    <t>Princess Wilson-Anderson</t>
  </si>
  <si>
    <t>Family Health</t>
  </si>
  <si>
    <t>David Yalleh</t>
  </si>
  <si>
    <t xml:space="preserve">Wisconsin </t>
  </si>
  <si>
    <t>Samuel Umerah</t>
  </si>
  <si>
    <t>Haatso Mabey</t>
  </si>
  <si>
    <t>Malcolm Otchere - Forbih</t>
  </si>
  <si>
    <t>THS Bohye</t>
  </si>
  <si>
    <t>Christian Ocquaye</t>
  </si>
  <si>
    <t>THS Agbogba</t>
  </si>
  <si>
    <t>Collins Quarcoo</t>
  </si>
  <si>
    <t>THS Ecomog</t>
  </si>
  <si>
    <t>Alex Baah - Gyambrah</t>
  </si>
  <si>
    <t>Pantang</t>
  </si>
  <si>
    <t>Abraham Koney</t>
  </si>
  <si>
    <t>JOS Christian Village</t>
  </si>
  <si>
    <t>Elorm Agbesinyale</t>
  </si>
  <si>
    <t>Christian Village</t>
  </si>
  <si>
    <t>Kelvin Ohene</t>
  </si>
  <si>
    <t>Dome North</t>
  </si>
  <si>
    <t>Pearl Addo</t>
  </si>
  <si>
    <t>Dome Main</t>
  </si>
  <si>
    <t>John Amoako</t>
  </si>
  <si>
    <t>THS Dome</t>
  </si>
  <si>
    <t>Jehu Adu Mante</t>
  </si>
  <si>
    <t>Council Joint Service</t>
  </si>
  <si>
    <t>Haatso Central</t>
  </si>
  <si>
    <t xml:space="preserve">Joel Bartels Asante </t>
  </si>
  <si>
    <t>Kissieman</t>
  </si>
  <si>
    <t>Olivier Agbenyegah</t>
  </si>
  <si>
    <t>Colossians Ablekuma</t>
  </si>
  <si>
    <t>Jude Yamoah</t>
  </si>
  <si>
    <t>Dansoman</t>
  </si>
  <si>
    <t>James Attoh</t>
  </si>
  <si>
    <t>THS Westland</t>
  </si>
  <si>
    <t>Joseph Halivor</t>
  </si>
  <si>
    <t>THS Haatso</t>
  </si>
  <si>
    <t>Michael Sarpong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</si>
</sst>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>
      <color rgb="FF000000"/>
      <name val="Arial"/>
      <scheme val="minor"/>
    </font>
    <font>
      <sz val="12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A2C4C9"/>
        <bgColor rgb="FFA2C4C9"/>
      </patternFill>
    </fill>
    <fill>
      <patternFill patternType="solid">
        <fgColor rgb="FFEA9999"/>
        <bgColor rgb="FFEA9999"/>
      </patternFill>
    </fill>
    <fill>
      <patternFill patternType="solid">
        <fgColor theme="0"/>
        <bgColor theme="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1" numFmtId="4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1" fillId="0" fontId="2" numFmtId="4" xfId="0" applyAlignment="1" applyBorder="1" applyFont="1" applyNumberFormat="1">
      <alignment readingOrder="0"/>
    </xf>
    <xf borderId="1" fillId="0" fontId="2" numFmtId="0" xfId="0" applyAlignment="1" applyBorder="1" applyFont="1">
      <alignment horizontal="right" readingOrder="0"/>
    </xf>
    <xf borderId="0" fillId="0" fontId="1" numFmtId="0" xfId="0" applyFont="1"/>
    <xf borderId="2" fillId="0" fontId="1" numFmtId="0" xfId="0" applyAlignment="1" applyBorder="1" applyFont="1">
      <alignment readingOrder="0"/>
    </xf>
    <xf borderId="2" fillId="0" fontId="1" numFmtId="0" xfId="0" applyBorder="1" applyFont="1"/>
    <xf borderId="2" fillId="0" fontId="1" numFmtId="4" xfId="0" applyBorder="1" applyFont="1" applyNumberFormat="1"/>
    <xf borderId="2" fillId="0" fontId="1" numFmtId="0" xfId="0" applyAlignment="1" applyBorder="1" applyFont="1">
      <alignment horizontal="right"/>
    </xf>
    <xf borderId="0" fillId="0" fontId="2" numFmtId="4" xfId="0" applyFont="1" applyNumberFormat="1"/>
    <xf borderId="3" fillId="0" fontId="1" numFmtId="0" xfId="0" applyAlignment="1" applyBorder="1" applyFont="1">
      <alignment horizontal="center" readingOrder="0"/>
    </xf>
    <xf borderId="4" fillId="0" fontId="3" numFmtId="0" xfId="0" applyBorder="1" applyFont="1"/>
    <xf borderId="5" fillId="0" fontId="3" numFmtId="0" xfId="0" applyBorder="1" applyFont="1"/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1" fillId="0" fontId="4" numFmtId="0" xfId="0" applyAlignment="1" applyBorder="1" applyFont="1">
      <alignment horizontal="right" readingOrder="0" vertical="bottom"/>
    </xf>
    <xf borderId="6" fillId="0" fontId="4" numFmtId="4" xfId="0" applyAlignment="1" applyBorder="1" applyFont="1" applyNumberFormat="1">
      <alignment horizontal="right" readingOrder="0" vertical="bottom"/>
    </xf>
    <xf borderId="7" fillId="0" fontId="2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  <xf borderId="2" fillId="0" fontId="5" numFmtId="0" xfId="0" applyBorder="1" applyFont="1"/>
    <xf borderId="2" fillId="0" fontId="5" numFmtId="4" xfId="0" applyBorder="1" applyFont="1" applyNumberFormat="1"/>
    <xf borderId="2" fillId="0" fontId="5" numFmtId="0" xfId="0" applyAlignment="1" applyBorder="1" applyFont="1">
      <alignment horizontal="right"/>
    </xf>
    <xf borderId="0" fillId="0" fontId="5" numFmtId="0" xfId="0" applyFont="1"/>
    <xf borderId="1" fillId="0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1" fillId="0" fontId="2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readingOrder="0"/>
    </xf>
    <xf borderId="2" fillId="0" fontId="3" numFmtId="0" xfId="0" applyBorder="1" applyFont="1"/>
    <xf borderId="0" fillId="0" fontId="5" numFmtId="4" xfId="0" applyAlignment="1" applyFont="1" applyNumberFormat="1">
      <alignment readingOrder="0"/>
    </xf>
    <xf borderId="6" fillId="0" fontId="4" numFmtId="0" xfId="0" applyAlignment="1" applyBorder="1" applyFont="1">
      <alignment horizontal="right" vertical="bottom"/>
    </xf>
    <xf borderId="0" fillId="0" fontId="6" numFmtId="0" xfId="0" applyFont="1"/>
    <xf borderId="5" fillId="0" fontId="4" numFmtId="4" xfId="0" applyAlignment="1" applyBorder="1" applyFont="1" applyNumberFormat="1">
      <alignment horizontal="right" readingOrder="0" vertical="bottom"/>
    </xf>
    <xf borderId="5" fillId="0" fontId="2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Border="1" applyFont="1"/>
    <xf borderId="6" fillId="0" fontId="2" numFmtId="0" xfId="0" applyAlignment="1" applyBorder="1" applyFont="1">
      <alignment readingOrder="0"/>
    </xf>
    <xf borderId="8" fillId="0" fontId="1" numFmtId="0" xfId="0" applyBorder="1" applyFont="1"/>
    <xf borderId="8" fillId="0" fontId="1" numFmtId="4" xfId="0" applyBorder="1" applyFont="1" applyNumberFormat="1"/>
    <xf borderId="1" fillId="0" fontId="1" numFmtId="164" xfId="0" applyAlignment="1" applyBorder="1" applyFont="1" applyNumberFormat="1">
      <alignment readingOrder="0"/>
    </xf>
    <xf borderId="0" fillId="2" fontId="7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0" fillId="3" fontId="2" numFmtId="1" xfId="0" applyAlignment="1" applyFont="1" applyNumberFormat="1">
      <alignment readingOrder="0"/>
    </xf>
    <xf borderId="0" fillId="3" fontId="2" numFmtId="2" xfId="0" applyAlignment="1" applyFont="1" applyNumberFormat="1">
      <alignment readingOrder="0"/>
    </xf>
    <xf borderId="0" fillId="2" fontId="7" numFmtId="0" xfId="0" applyAlignment="1" applyFont="1">
      <alignment horizontal="center" readingOrder="0"/>
    </xf>
    <xf borderId="0" fillId="6" fontId="7" numFmtId="0" xfId="0" applyAlignment="1" applyFill="1" applyFont="1">
      <alignment readingOrder="0"/>
    </xf>
    <xf borderId="0" fillId="6" fontId="2" numFmtId="0" xfId="0" applyFont="1"/>
    <xf borderId="0" fillId="6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2" numFmtId="4" xfId="0" applyAlignment="1" applyFont="1" applyNumberFormat="1">
      <alignment readingOrder="0"/>
    </xf>
    <xf borderId="1" fillId="0" fontId="4" numFmtId="4" xfId="0" applyAlignment="1" applyBorder="1" applyFont="1" applyNumberFormat="1">
      <alignment horizontal="right" readingOrder="0" vertical="bottom"/>
    </xf>
    <xf borderId="1" fillId="0" fontId="4" numFmtId="0" xfId="0" applyAlignment="1" applyBorder="1" applyFont="1">
      <alignment horizontal="right" vertical="bottom"/>
    </xf>
    <xf borderId="1" fillId="0" fontId="8" numFmtId="0" xfId="0" applyAlignment="1" applyBorder="1" applyFont="1">
      <alignment readingOrder="0" vertical="bottom"/>
    </xf>
    <xf borderId="5" fillId="0" fontId="4" numFmtId="0" xfId="0" applyAlignment="1" applyBorder="1" applyFont="1">
      <alignment vertical="bottom"/>
    </xf>
    <xf borderId="6" fillId="0" fontId="8" numFmtId="0" xfId="0" applyAlignment="1" applyBorder="1" applyFont="1">
      <alignment vertical="bottom"/>
    </xf>
    <xf borderId="7" fillId="0" fontId="4" numFmtId="0" xfId="0" applyAlignment="1" applyBorder="1" applyFont="1">
      <alignment vertical="bottom"/>
    </xf>
    <xf borderId="6" fillId="0" fontId="4" numFmtId="0" xfId="0" applyAlignment="1" applyBorder="1" applyFont="1">
      <alignment vertical="bottom"/>
    </xf>
    <xf borderId="6" fillId="0" fontId="4" numFmtId="0" xfId="0" applyAlignment="1" applyBorder="1" applyFont="1">
      <alignment readingOrder="0" vertical="bottom"/>
    </xf>
    <xf borderId="7" fillId="0" fontId="4" numFmtId="0" xfId="0" applyAlignment="1" applyBorder="1" applyFont="1">
      <alignment readingOrder="0" vertical="bottom"/>
    </xf>
    <xf borderId="6" fillId="0" fontId="4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19.0"/>
    <col hidden="1" min="6" max="6" width="12.63"/>
    <col customWidth="1" min="7" max="7" width="1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 t="s">
        <v>9</v>
      </c>
      <c r="B2" s="3" t="s">
        <v>10</v>
      </c>
      <c r="C2" s="3">
        <f>'Galatians 1'!C5</f>
        <v>5</v>
      </c>
      <c r="D2" s="3">
        <f>'Galatians 1'!E5</f>
        <v>11</v>
      </c>
      <c r="E2" s="4">
        <f>'Galatians 1'!F5</f>
        <v>178</v>
      </c>
      <c r="F2" s="3">
        <f>'Galatians 1'!H5</f>
        <v>0</v>
      </c>
      <c r="G2" s="3">
        <f>'Galatians 1'!I5</f>
        <v>3</v>
      </c>
      <c r="H2" s="5" t="str">
        <f>'Galatians 1'!J5</f>
        <v>3/5</v>
      </c>
      <c r="I2" s="3">
        <f>'Galatians 1'!K5</f>
        <v>1</v>
      </c>
    </row>
    <row r="3">
      <c r="A3" s="3" t="s">
        <v>11</v>
      </c>
      <c r="B3" s="3" t="s">
        <v>12</v>
      </c>
      <c r="C3" s="3">
        <f>'Galatians 5'!C14</f>
        <v>50</v>
      </c>
      <c r="D3" s="3">
        <f>'Galatians 5'!E14</f>
        <v>212</v>
      </c>
      <c r="E3" s="4">
        <f>'Galatians 5'!F14</f>
        <v>1512</v>
      </c>
      <c r="F3" s="3">
        <f>'Galatians 5'!G14</f>
        <v>0</v>
      </c>
      <c r="G3" s="3">
        <f>'Galatians 5'!H14</f>
        <v>41</v>
      </c>
      <c r="H3" s="5" t="str">
        <f t="shared" ref="H3:H15" si="1">CONCATENATE(G3,"/",C3)</f>
        <v>41/50</v>
      </c>
      <c r="I3" s="3">
        <f t="shared" ref="I3:I15" si="2">C3-G3</f>
        <v>9</v>
      </c>
    </row>
    <row r="4">
      <c r="A4" s="3" t="s">
        <v>13</v>
      </c>
      <c r="B4" s="3" t="s">
        <v>14</v>
      </c>
      <c r="C4" s="3">
        <f>'Galatians 4'!C7</f>
        <v>19</v>
      </c>
      <c r="D4" s="3">
        <f>'Galatians 4'!E7</f>
        <v>72</v>
      </c>
      <c r="E4" s="3">
        <f>'Galatians 4'!F7</f>
        <v>435</v>
      </c>
      <c r="F4" s="3">
        <f>'Galatians 4'!G7</f>
        <v>0</v>
      </c>
      <c r="G4" s="3">
        <f>'Galatians 4'!H7</f>
        <v>13</v>
      </c>
      <c r="H4" s="5" t="str">
        <f t="shared" si="1"/>
        <v>13/19</v>
      </c>
      <c r="I4" s="3">
        <f t="shared" si="2"/>
        <v>6</v>
      </c>
    </row>
    <row r="5">
      <c r="A5" s="3" t="s">
        <v>15</v>
      </c>
      <c r="B5" s="3" t="s">
        <v>16</v>
      </c>
      <c r="C5" s="3">
        <f>'Galatians 2'!C12</f>
        <v>34</v>
      </c>
      <c r="D5" s="3">
        <f>'Galatians 2'!E12</f>
        <v>177</v>
      </c>
      <c r="E5" s="3">
        <f>'Galatians 2'!F12</f>
        <v>1799.46</v>
      </c>
      <c r="F5" s="3">
        <f>SUMIF(#REF!,$A5,'Galatians 4'!G:G)</f>
        <v>0</v>
      </c>
      <c r="G5" s="3">
        <f>'Galatians 2'!D12</f>
        <v>33</v>
      </c>
      <c r="H5" s="5" t="str">
        <f t="shared" si="1"/>
        <v>33/34</v>
      </c>
      <c r="I5" s="3">
        <f t="shared" si="2"/>
        <v>1</v>
      </c>
    </row>
    <row r="6">
      <c r="A6" s="3" t="s">
        <v>17</v>
      </c>
      <c r="B6" s="3" t="s">
        <v>18</v>
      </c>
      <c r="C6" s="3">
        <f>'Galatians 8'!C10</f>
        <v>24</v>
      </c>
      <c r="D6" s="3">
        <f>'Galatians 8'!E10</f>
        <v>66</v>
      </c>
      <c r="E6" s="3">
        <f>'Galatians 8'!F10</f>
        <v>1683</v>
      </c>
      <c r="F6" s="3">
        <f>'Galatians 8'!G10</f>
        <v>0</v>
      </c>
      <c r="G6" s="3">
        <f>'Galatians 8'!I10</f>
        <v>1</v>
      </c>
      <c r="H6" s="5" t="str">
        <f t="shared" si="1"/>
        <v>1/24</v>
      </c>
      <c r="I6" s="3">
        <f t="shared" si="2"/>
        <v>23</v>
      </c>
    </row>
    <row r="7">
      <c r="A7" s="3" t="s">
        <v>19</v>
      </c>
      <c r="B7" s="3" t="s">
        <v>20</v>
      </c>
      <c r="C7" s="3">
        <f>'Galatians 9'!C11</f>
        <v>16</v>
      </c>
      <c r="D7" s="3">
        <f>'Galatians 9'!E11</f>
        <v>93</v>
      </c>
      <c r="E7" s="4">
        <f>'Galatians 9'!F11</f>
        <v>1222</v>
      </c>
      <c r="F7" s="3">
        <f>SUMIF(#REF!,$A7,'Galatians 4'!G:G)</f>
        <v>0</v>
      </c>
      <c r="G7" s="3">
        <f>'Galatians 9'!I11</f>
        <v>17</v>
      </c>
      <c r="H7" s="5" t="str">
        <f t="shared" si="1"/>
        <v>17/16</v>
      </c>
      <c r="I7" s="3">
        <f t="shared" si="2"/>
        <v>-1</v>
      </c>
    </row>
    <row r="8">
      <c r="A8" s="3" t="s">
        <v>21</v>
      </c>
      <c r="B8" s="3" t="s">
        <v>22</v>
      </c>
      <c r="C8" s="3">
        <f>'Galatians 6'!C12</f>
        <v>32</v>
      </c>
      <c r="D8" s="3">
        <f>'Galatians 6'!E12</f>
        <v>82</v>
      </c>
      <c r="E8" s="4">
        <f>'Galatians 6'!F12</f>
        <v>3726</v>
      </c>
      <c r="F8" s="3">
        <f>SUMIF(#REF!,$A8,'Galatians 4'!G:G)</f>
        <v>0</v>
      </c>
      <c r="G8" s="3">
        <f>'Galatians 6'!H12</f>
        <v>19</v>
      </c>
      <c r="H8" s="5" t="str">
        <f t="shared" si="1"/>
        <v>19/32</v>
      </c>
      <c r="I8" s="3">
        <f t="shared" si="2"/>
        <v>13</v>
      </c>
    </row>
    <row r="9">
      <c r="A9" s="3" t="s">
        <v>23</v>
      </c>
      <c r="B9" s="3" t="s">
        <v>24</v>
      </c>
      <c r="C9" s="3">
        <f>'Galatians 7'!C13</f>
        <v>25</v>
      </c>
      <c r="D9" s="3">
        <f>'Galatians 7'!E13</f>
        <v>232</v>
      </c>
      <c r="E9" s="3">
        <f>'Galatians 7'!F13</f>
        <v>7635.8</v>
      </c>
      <c r="F9" s="3">
        <f>SUMIF(#REF!,$A9,'Galatians 4'!G:G)</f>
        <v>0</v>
      </c>
      <c r="G9" s="3">
        <f>'Galatians 7'!H13</f>
        <v>25</v>
      </c>
      <c r="H9" s="5" t="str">
        <f t="shared" si="1"/>
        <v>25/25</v>
      </c>
      <c r="I9" s="3">
        <f t="shared" si="2"/>
        <v>0</v>
      </c>
    </row>
    <row r="10">
      <c r="A10" s="3" t="s">
        <v>25</v>
      </c>
      <c r="B10" s="3" t="s">
        <v>26</v>
      </c>
      <c r="C10" s="3">
        <f>'Galatians 3'!C9</f>
        <v>14</v>
      </c>
      <c r="D10" s="3">
        <f>'Galatians 3'!E9</f>
        <v>44</v>
      </c>
      <c r="E10" s="4">
        <f>'Galatians 3'!F9</f>
        <v>247</v>
      </c>
      <c r="F10" s="3">
        <f>'Galatians 3'!G9</f>
        <v>0</v>
      </c>
      <c r="G10" s="3">
        <f>'Galatians 3'!H9</f>
        <v>8</v>
      </c>
      <c r="H10" s="5" t="str">
        <f t="shared" si="1"/>
        <v>8/14</v>
      </c>
      <c r="I10" s="3">
        <f t="shared" si="2"/>
        <v>6</v>
      </c>
    </row>
    <row r="11">
      <c r="A11" s="3" t="s">
        <v>9</v>
      </c>
      <c r="B11" s="3" t="s">
        <v>27</v>
      </c>
      <c r="C11" s="3">
        <f>'Colossians 1'!C14</f>
        <v>35</v>
      </c>
      <c r="D11" s="3">
        <f>'Colossians 1'!E14</f>
        <v>113</v>
      </c>
      <c r="E11" s="4">
        <f>'Colossians 1'!F14</f>
        <v>5731.7</v>
      </c>
      <c r="F11" s="3">
        <f>SUMIF(#REF!,$A11,'Galatians 4'!G:G)</f>
        <v>0</v>
      </c>
      <c r="G11" s="3">
        <f>'Colossians 1'!H14</f>
        <v>21</v>
      </c>
      <c r="H11" s="5" t="str">
        <f t="shared" si="1"/>
        <v>21/35</v>
      </c>
      <c r="I11" s="3">
        <f t="shared" si="2"/>
        <v>14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3" t="s">
        <v>28</v>
      </c>
      <c r="B12" s="3" t="s">
        <v>29</v>
      </c>
      <c r="C12" s="3">
        <f>'Colossians 2'!C9</f>
        <v>21</v>
      </c>
      <c r="D12" s="3">
        <f>'Colossians 2'!E9</f>
        <v>52</v>
      </c>
      <c r="E12" s="4">
        <f>'Colossians 2'!F9</f>
        <v>994.13</v>
      </c>
      <c r="F12" s="3">
        <v>0.0</v>
      </c>
      <c r="G12" s="3">
        <f>'Colossians 2'!H9</f>
        <v>12</v>
      </c>
      <c r="H12" s="5" t="str">
        <f t="shared" si="1"/>
        <v>12/21</v>
      </c>
      <c r="I12" s="3">
        <f t="shared" si="2"/>
        <v>9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3" t="s">
        <v>30</v>
      </c>
      <c r="B13" s="3" t="s">
        <v>31</v>
      </c>
      <c r="C13" s="3">
        <f>'Colossians 3'!C9</f>
        <v>12</v>
      </c>
      <c r="D13" s="3">
        <f>'Colossians 3'!E9</f>
        <v>33</v>
      </c>
      <c r="E13" s="4">
        <f>'Colossians 3'!F9</f>
        <v>477</v>
      </c>
      <c r="F13" s="3">
        <f>SUMIF(#REF!,$A13,'Galatians 4'!G:G)</f>
        <v>0</v>
      </c>
      <c r="G13" s="3">
        <f>'Colossians 3'!H9</f>
        <v>7</v>
      </c>
      <c r="H13" s="5" t="str">
        <f t="shared" si="1"/>
        <v>7/12</v>
      </c>
      <c r="I13" s="3">
        <f t="shared" si="2"/>
        <v>5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hidden="1">
      <c r="A14" s="3" t="s">
        <v>32</v>
      </c>
      <c r="B14" s="3"/>
      <c r="C14" s="3" t="str">
        <f>'Colossians 3'!C11</f>
        <v/>
      </c>
      <c r="D14" s="3">
        <v>124.0</v>
      </c>
      <c r="E14" s="3">
        <v>2900.0</v>
      </c>
      <c r="F14" s="3">
        <f>SUMIF(#REF!,$A14,'Galatians 4'!G:G)</f>
        <v>0</v>
      </c>
      <c r="G14" s="3" t="str">
        <f>'Colossians 3'!H11</f>
        <v/>
      </c>
      <c r="H14" s="5" t="str">
        <f t="shared" si="1"/>
        <v>/</v>
      </c>
      <c r="I14" s="3">
        <f t="shared" si="2"/>
        <v>0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7" t="s">
        <v>33</v>
      </c>
      <c r="B15" s="8"/>
      <c r="C15" s="8">
        <f t="shared" ref="C15:G15" si="3">SUM(C2:C13)</f>
        <v>287</v>
      </c>
      <c r="D15" s="8">
        <f t="shared" si="3"/>
        <v>1187</v>
      </c>
      <c r="E15" s="9">
        <f t="shared" si="3"/>
        <v>25641.09</v>
      </c>
      <c r="F15" s="8">
        <f t="shared" si="3"/>
        <v>0</v>
      </c>
      <c r="G15" s="8">
        <f t="shared" si="3"/>
        <v>200</v>
      </c>
      <c r="H15" s="10" t="str">
        <f t="shared" si="1"/>
        <v>200/287</v>
      </c>
      <c r="I15" s="8">
        <f t="shared" si="2"/>
        <v>87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E16" s="11"/>
    </row>
    <row r="17">
      <c r="E17" s="11"/>
    </row>
    <row r="18">
      <c r="E18" s="11"/>
    </row>
    <row r="19">
      <c r="E19" s="11"/>
    </row>
    <row r="20">
      <c r="E20" s="11"/>
    </row>
    <row r="21">
      <c r="E21" s="11"/>
    </row>
    <row r="22">
      <c r="E22" s="11"/>
    </row>
    <row r="23">
      <c r="E23" s="11"/>
    </row>
    <row r="24">
      <c r="E24" s="11"/>
    </row>
    <row r="25">
      <c r="E25" s="11"/>
    </row>
    <row r="26">
      <c r="E26" s="11"/>
    </row>
    <row r="27">
      <c r="E27" s="11"/>
    </row>
    <row r="28">
      <c r="E28" s="11"/>
    </row>
    <row r="29">
      <c r="E29" s="11"/>
    </row>
    <row r="30">
      <c r="E30" s="11"/>
    </row>
    <row r="31">
      <c r="E31" s="11"/>
    </row>
    <row r="32">
      <c r="E32" s="11"/>
    </row>
    <row r="33">
      <c r="E33" s="11"/>
    </row>
    <row r="34">
      <c r="E34" s="11"/>
    </row>
    <row r="35">
      <c r="E35" s="11"/>
    </row>
    <row r="36">
      <c r="E36" s="11"/>
    </row>
    <row r="37">
      <c r="E37" s="11"/>
    </row>
    <row r="38">
      <c r="E38" s="11"/>
    </row>
    <row r="39">
      <c r="E39" s="11"/>
    </row>
    <row r="40">
      <c r="E40" s="11"/>
    </row>
    <row r="41">
      <c r="E41" s="11"/>
    </row>
    <row r="42">
      <c r="E42" s="11"/>
    </row>
    <row r="43">
      <c r="E43" s="11"/>
    </row>
    <row r="44">
      <c r="E44" s="11"/>
    </row>
    <row r="45">
      <c r="E45" s="11"/>
    </row>
    <row r="46">
      <c r="E46" s="11"/>
    </row>
    <row r="47">
      <c r="E47" s="11"/>
    </row>
    <row r="48">
      <c r="E48" s="11"/>
    </row>
    <row r="49">
      <c r="E49" s="11"/>
    </row>
    <row r="50">
      <c r="E50" s="11"/>
    </row>
    <row r="51">
      <c r="E51" s="11"/>
    </row>
    <row r="52">
      <c r="E52" s="11"/>
    </row>
    <row r="53">
      <c r="E53" s="11"/>
    </row>
    <row r="54">
      <c r="E54" s="11"/>
    </row>
    <row r="55">
      <c r="E55" s="11"/>
    </row>
    <row r="56">
      <c r="E56" s="11"/>
    </row>
    <row r="57">
      <c r="E57" s="11"/>
    </row>
    <row r="58">
      <c r="E58" s="11"/>
    </row>
    <row r="59">
      <c r="E59" s="11"/>
    </row>
    <row r="60">
      <c r="E60" s="11"/>
    </row>
    <row r="61">
      <c r="E61" s="11"/>
    </row>
    <row r="62">
      <c r="E62" s="11"/>
    </row>
    <row r="63">
      <c r="E63" s="11"/>
    </row>
    <row r="64">
      <c r="E64" s="11"/>
    </row>
    <row r="65">
      <c r="E65" s="11"/>
    </row>
    <row r="66">
      <c r="E66" s="11"/>
    </row>
    <row r="67">
      <c r="E67" s="11"/>
    </row>
    <row r="68">
      <c r="E68" s="11"/>
    </row>
    <row r="69">
      <c r="E69" s="11"/>
    </row>
    <row r="70">
      <c r="E70" s="11"/>
    </row>
    <row r="71">
      <c r="E71" s="11"/>
    </row>
    <row r="72">
      <c r="E72" s="11"/>
    </row>
    <row r="73">
      <c r="E73" s="11"/>
    </row>
    <row r="74">
      <c r="E74" s="11"/>
    </row>
    <row r="75">
      <c r="E75" s="11"/>
    </row>
    <row r="76">
      <c r="E76" s="11"/>
    </row>
    <row r="77">
      <c r="E77" s="11"/>
    </row>
    <row r="78">
      <c r="E78" s="11"/>
    </row>
    <row r="79">
      <c r="E79" s="11"/>
    </row>
    <row r="80">
      <c r="E80" s="11"/>
    </row>
    <row r="81">
      <c r="E81" s="11"/>
    </row>
    <row r="82">
      <c r="E82" s="11"/>
    </row>
    <row r="83">
      <c r="E83" s="11"/>
    </row>
    <row r="84">
      <c r="E84" s="11"/>
    </row>
    <row r="85">
      <c r="E85" s="11"/>
    </row>
    <row r="86">
      <c r="E86" s="11"/>
    </row>
    <row r="87">
      <c r="E87" s="11"/>
    </row>
    <row r="88">
      <c r="E88" s="11"/>
    </row>
    <row r="89">
      <c r="E89" s="11"/>
    </row>
    <row r="90">
      <c r="E90" s="11"/>
    </row>
    <row r="91">
      <c r="E91" s="11"/>
    </row>
    <row r="92">
      <c r="E92" s="11"/>
    </row>
    <row r="93">
      <c r="E93" s="11"/>
    </row>
    <row r="94">
      <c r="E94" s="11"/>
    </row>
    <row r="95">
      <c r="E95" s="11"/>
    </row>
    <row r="96">
      <c r="E96" s="11"/>
    </row>
    <row r="97">
      <c r="E97" s="11"/>
    </row>
    <row r="98">
      <c r="E98" s="11"/>
    </row>
    <row r="99">
      <c r="E99" s="11"/>
    </row>
    <row r="100">
      <c r="E100" s="11"/>
    </row>
    <row r="101">
      <c r="E101" s="11"/>
    </row>
    <row r="102">
      <c r="E102" s="11"/>
    </row>
    <row r="103">
      <c r="E103" s="11"/>
    </row>
    <row r="104">
      <c r="E104" s="11"/>
    </row>
    <row r="105">
      <c r="E105" s="11"/>
    </row>
    <row r="106">
      <c r="E106" s="11"/>
    </row>
    <row r="107">
      <c r="E107" s="11"/>
    </row>
    <row r="108">
      <c r="E108" s="11"/>
    </row>
    <row r="109">
      <c r="E109" s="11"/>
    </row>
    <row r="110">
      <c r="E110" s="11"/>
    </row>
    <row r="111">
      <c r="E111" s="11"/>
    </row>
    <row r="112">
      <c r="E112" s="11"/>
    </row>
    <row r="113">
      <c r="E113" s="11"/>
    </row>
    <row r="114">
      <c r="E114" s="11"/>
    </row>
    <row r="115">
      <c r="E115" s="11"/>
    </row>
    <row r="116">
      <c r="E116" s="11"/>
    </row>
    <row r="117">
      <c r="E117" s="11"/>
    </row>
    <row r="118">
      <c r="E118" s="11"/>
    </row>
    <row r="119">
      <c r="E119" s="11"/>
    </row>
    <row r="120">
      <c r="E120" s="11"/>
    </row>
    <row r="121">
      <c r="E121" s="11"/>
    </row>
    <row r="122">
      <c r="E122" s="11"/>
    </row>
    <row r="123">
      <c r="E123" s="11"/>
    </row>
    <row r="124">
      <c r="E124" s="11"/>
    </row>
    <row r="125">
      <c r="E125" s="11"/>
    </row>
    <row r="126">
      <c r="E126" s="11"/>
    </row>
    <row r="127">
      <c r="E127" s="11"/>
    </row>
    <row r="128">
      <c r="E128" s="11"/>
    </row>
    <row r="129">
      <c r="E129" s="11"/>
    </row>
    <row r="130">
      <c r="E130" s="11"/>
    </row>
    <row r="131">
      <c r="E131" s="11"/>
    </row>
    <row r="132">
      <c r="E132" s="11"/>
    </row>
    <row r="133">
      <c r="E133" s="11"/>
    </row>
    <row r="134">
      <c r="E134" s="11"/>
    </row>
    <row r="135">
      <c r="E135" s="11"/>
    </row>
    <row r="136">
      <c r="E136" s="11"/>
    </row>
    <row r="137">
      <c r="E137" s="11"/>
    </row>
    <row r="138">
      <c r="E138" s="11"/>
    </row>
    <row r="139">
      <c r="E139" s="11"/>
    </row>
    <row r="140">
      <c r="E140" s="11"/>
    </row>
    <row r="141">
      <c r="E141" s="11"/>
    </row>
    <row r="142">
      <c r="E142" s="11"/>
    </row>
    <row r="143">
      <c r="E143" s="11"/>
    </row>
    <row r="144">
      <c r="E144" s="11"/>
    </row>
    <row r="145">
      <c r="E145" s="11"/>
    </row>
    <row r="146">
      <c r="E146" s="11"/>
    </row>
    <row r="147">
      <c r="E147" s="11"/>
    </row>
    <row r="148">
      <c r="E148" s="11"/>
    </row>
    <row r="149">
      <c r="E149" s="11"/>
    </row>
    <row r="150">
      <c r="E150" s="11"/>
    </row>
    <row r="151">
      <c r="E151" s="11"/>
    </row>
    <row r="152">
      <c r="E152" s="11"/>
    </row>
    <row r="153">
      <c r="E153" s="11"/>
    </row>
    <row r="154">
      <c r="E154" s="11"/>
    </row>
    <row r="155">
      <c r="E155" s="11"/>
    </row>
    <row r="156">
      <c r="E156" s="11"/>
    </row>
    <row r="157">
      <c r="E157" s="11"/>
    </row>
    <row r="158">
      <c r="E158" s="11"/>
    </row>
    <row r="159">
      <c r="E159" s="11"/>
    </row>
    <row r="160">
      <c r="E160" s="11"/>
    </row>
    <row r="161">
      <c r="E161" s="11"/>
    </row>
    <row r="162">
      <c r="E162" s="11"/>
    </row>
    <row r="163">
      <c r="E163" s="11"/>
    </row>
    <row r="164">
      <c r="E164" s="11"/>
    </row>
    <row r="165">
      <c r="E165" s="11"/>
    </row>
    <row r="166">
      <c r="E166" s="11"/>
    </row>
    <row r="167">
      <c r="E167" s="11"/>
    </row>
    <row r="168">
      <c r="E168" s="11"/>
    </row>
    <row r="169">
      <c r="E169" s="11"/>
    </row>
    <row r="170">
      <c r="E170" s="11"/>
    </row>
    <row r="171">
      <c r="E171" s="11"/>
    </row>
    <row r="172">
      <c r="E172" s="11"/>
    </row>
    <row r="173">
      <c r="E173" s="11"/>
    </row>
    <row r="174">
      <c r="E174" s="11"/>
    </row>
    <row r="175">
      <c r="E175" s="11"/>
    </row>
    <row r="176">
      <c r="E176" s="11"/>
    </row>
    <row r="177">
      <c r="E177" s="11"/>
    </row>
    <row r="178">
      <c r="E178" s="11"/>
    </row>
    <row r="179">
      <c r="E179" s="11"/>
    </row>
    <row r="180">
      <c r="E180" s="11"/>
    </row>
    <row r="181">
      <c r="E181" s="11"/>
    </row>
    <row r="182">
      <c r="E182" s="11"/>
    </row>
    <row r="183">
      <c r="E183" s="11"/>
    </row>
    <row r="184">
      <c r="E184" s="11"/>
    </row>
    <row r="185">
      <c r="E185" s="11"/>
    </row>
    <row r="186">
      <c r="E186" s="11"/>
    </row>
    <row r="187">
      <c r="E187" s="11"/>
    </row>
    <row r="188">
      <c r="E188" s="11"/>
    </row>
    <row r="189">
      <c r="E189" s="11"/>
    </row>
    <row r="190">
      <c r="E190" s="11"/>
    </row>
    <row r="191">
      <c r="E191" s="11"/>
    </row>
    <row r="192">
      <c r="E192" s="11"/>
    </row>
    <row r="193">
      <c r="E193" s="11"/>
    </row>
    <row r="194">
      <c r="E194" s="11"/>
    </row>
    <row r="195">
      <c r="E195" s="11"/>
    </row>
    <row r="196">
      <c r="E196" s="11"/>
    </row>
    <row r="197">
      <c r="E197" s="11"/>
    </row>
    <row r="198">
      <c r="E198" s="11"/>
    </row>
    <row r="199">
      <c r="E199" s="11"/>
    </row>
    <row r="200">
      <c r="E200" s="11"/>
    </row>
    <row r="201">
      <c r="E201" s="11"/>
    </row>
    <row r="202">
      <c r="E202" s="11"/>
    </row>
    <row r="203">
      <c r="E203" s="11"/>
    </row>
    <row r="204">
      <c r="E204" s="11"/>
    </row>
    <row r="205">
      <c r="E205" s="11"/>
    </row>
    <row r="206">
      <c r="E206" s="11"/>
    </row>
    <row r="207">
      <c r="E207" s="11"/>
    </row>
    <row r="208">
      <c r="E208" s="11"/>
    </row>
    <row r="209">
      <c r="E209" s="11"/>
    </row>
    <row r="210">
      <c r="E210" s="11"/>
    </row>
    <row r="211">
      <c r="E211" s="11"/>
    </row>
    <row r="212">
      <c r="E212" s="11"/>
    </row>
    <row r="213">
      <c r="E213" s="11"/>
    </row>
    <row r="214">
      <c r="E214" s="11"/>
    </row>
    <row r="215">
      <c r="E215" s="11"/>
    </row>
    <row r="216">
      <c r="E216" s="11"/>
    </row>
    <row r="217">
      <c r="E217" s="11"/>
    </row>
    <row r="218">
      <c r="E218" s="11"/>
    </row>
    <row r="219">
      <c r="E219" s="11"/>
    </row>
    <row r="220">
      <c r="E220" s="11"/>
    </row>
    <row r="221">
      <c r="E221" s="11"/>
    </row>
    <row r="222">
      <c r="E222" s="11"/>
    </row>
    <row r="223">
      <c r="E223" s="11"/>
    </row>
    <row r="224">
      <c r="E224" s="11"/>
    </row>
    <row r="225">
      <c r="E225" s="11"/>
    </row>
    <row r="226">
      <c r="E226" s="11"/>
    </row>
    <row r="227">
      <c r="E227" s="11"/>
    </row>
    <row r="228">
      <c r="E228" s="11"/>
    </row>
    <row r="229">
      <c r="E229" s="11"/>
    </row>
    <row r="230">
      <c r="E230" s="11"/>
    </row>
    <row r="231">
      <c r="E231" s="11"/>
    </row>
    <row r="232">
      <c r="E232" s="11"/>
    </row>
    <row r="233">
      <c r="E233" s="11"/>
    </row>
    <row r="234">
      <c r="E234" s="11"/>
    </row>
    <row r="235">
      <c r="E235" s="11"/>
    </row>
    <row r="236">
      <c r="E236" s="11"/>
    </row>
    <row r="237">
      <c r="E237" s="11"/>
    </row>
    <row r="238">
      <c r="E238" s="11"/>
    </row>
    <row r="239">
      <c r="E239" s="11"/>
    </row>
    <row r="240">
      <c r="E240" s="11"/>
    </row>
    <row r="241">
      <c r="E241" s="11"/>
    </row>
    <row r="242">
      <c r="E242" s="11"/>
    </row>
    <row r="243">
      <c r="E243" s="11"/>
    </row>
    <row r="244">
      <c r="E244" s="11"/>
    </row>
    <row r="245">
      <c r="E245" s="11"/>
    </row>
    <row r="246">
      <c r="E246" s="11"/>
    </row>
    <row r="247">
      <c r="E247" s="11"/>
    </row>
    <row r="248">
      <c r="E248" s="11"/>
    </row>
    <row r="249">
      <c r="E249" s="11"/>
    </row>
    <row r="250">
      <c r="E250" s="11"/>
    </row>
    <row r="251">
      <c r="E251" s="11"/>
    </row>
    <row r="252">
      <c r="E252" s="11"/>
    </row>
    <row r="253">
      <c r="E253" s="11"/>
    </row>
    <row r="254">
      <c r="E254" s="11"/>
    </row>
    <row r="255">
      <c r="E255" s="11"/>
    </row>
    <row r="256">
      <c r="E256" s="11"/>
    </row>
    <row r="257">
      <c r="E257" s="11"/>
    </row>
    <row r="258">
      <c r="E258" s="11"/>
    </row>
    <row r="259">
      <c r="E259" s="11"/>
    </row>
    <row r="260">
      <c r="E260" s="11"/>
    </row>
    <row r="261">
      <c r="E261" s="11"/>
    </row>
    <row r="262">
      <c r="E262" s="11"/>
    </row>
    <row r="263">
      <c r="E263" s="11"/>
    </row>
    <row r="264">
      <c r="E264" s="11"/>
    </row>
    <row r="265">
      <c r="E265" s="11"/>
    </row>
    <row r="266">
      <c r="E266" s="11"/>
    </row>
    <row r="267">
      <c r="E267" s="11"/>
    </row>
    <row r="268">
      <c r="E268" s="11"/>
    </row>
    <row r="269">
      <c r="E269" s="11"/>
    </row>
    <row r="270">
      <c r="E270" s="11"/>
    </row>
    <row r="271">
      <c r="E271" s="11"/>
    </row>
    <row r="272">
      <c r="E272" s="11"/>
    </row>
    <row r="273">
      <c r="E273" s="11"/>
    </row>
    <row r="274">
      <c r="E274" s="11"/>
    </row>
    <row r="275">
      <c r="E275" s="11"/>
    </row>
    <row r="276">
      <c r="E276" s="11"/>
    </row>
    <row r="277">
      <c r="E277" s="11"/>
    </row>
    <row r="278">
      <c r="E278" s="11"/>
    </row>
    <row r="279">
      <c r="E279" s="11"/>
    </row>
    <row r="280">
      <c r="E280" s="11"/>
    </row>
    <row r="281">
      <c r="E281" s="11"/>
    </row>
    <row r="282">
      <c r="E282" s="11"/>
    </row>
    <row r="283">
      <c r="E283" s="11"/>
    </row>
    <row r="284">
      <c r="E284" s="11"/>
    </row>
    <row r="285">
      <c r="E285" s="11"/>
    </row>
    <row r="286">
      <c r="E286" s="11"/>
    </row>
    <row r="287">
      <c r="E287" s="11"/>
    </row>
    <row r="288">
      <c r="E288" s="11"/>
    </row>
    <row r="289">
      <c r="E289" s="11"/>
    </row>
    <row r="290">
      <c r="E290" s="11"/>
    </row>
    <row r="291">
      <c r="E291" s="11"/>
    </row>
    <row r="292">
      <c r="E292" s="11"/>
    </row>
    <row r="293">
      <c r="E293" s="11"/>
    </row>
    <row r="294">
      <c r="E294" s="11"/>
    </row>
    <row r="295">
      <c r="E295" s="11"/>
    </row>
    <row r="296">
      <c r="E296" s="11"/>
    </row>
    <row r="297">
      <c r="E297" s="11"/>
    </row>
    <row r="298">
      <c r="E298" s="11"/>
    </row>
    <row r="299">
      <c r="E299" s="11"/>
    </row>
    <row r="300">
      <c r="E300" s="11"/>
    </row>
    <row r="301">
      <c r="E301" s="11"/>
    </row>
    <row r="302">
      <c r="E302" s="11"/>
    </row>
    <row r="303">
      <c r="E303" s="11"/>
    </row>
    <row r="304">
      <c r="E304" s="11"/>
    </row>
    <row r="305">
      <c r="E305" s="11"/>
    </row>
    <row r="306">
      <c r="E306" s="11"/>
    </row>
    <row r="307">
      <c r="E307" s="11"/>
    </row>
    <row r="308">
      <c r="E308" s="11"/>
    </row>
    <row r="309">
      <c r="E309" s="11"/>
    </row>
    <row r="310">
      <c r="E310" s="11"/>
    </row>
    <row r="311">
      <c r="E311" s="11"/>
    </row>
    <row r="312">
      <c r="E312" s="11"/>
    </row>
    <row r="313">
      <c r="E313" s="11"/>
    </row>
    <row r="314">
      <c r="E314" s="11"/>
    </row>
    <row r="315">
      <c r="E315" s="11"/>
    </row>
    <row r="316">
      <c r="E316" s="11"/>
    </row>
    <row r="317">
      <c r="E317" s="11"/>
    </row>
    <row r="318">
      <c r="E318" s="11"/>
    </row>
    <row r="319">
      <c r="E319" s="11"/>
    </row>
    <row r="320">
      <c r="E320" s="11"/>
    </row>
    <row r="321">
      <c r="E321" s="11"/>
    </row>
    <row r="322">
      <c r="E322" s="11"/>
    </row>
    <row r="323">
      <c r="E323" s="11"/>
    </row>
    <row r="324">
      <c r="E324" s="11"/>
    </row>
    <row r="325">
      <c r="E325" s="11"/>
    </row>
    <row r="326">
      <c r="E326" s="11"/>
    </row>
    <row r="327">
      <c r="E327" s="11"/>
    </row>
    <row r="328">
      <c r="E328" s="11"/>
    </row>
    <row r="329">
      <c r="E329" s="11"/>
    </row>
    <row r="330">
      <c r="E330" s="11"/>
    </row>
    <row r="331">
      <c r="E331" s="11"/>
    </row>
    <row r="332">
      <c r="E332" s="11"/>
    </row>
    <row r="333">
      <c r="E333" s="11"/>
    </row>
    <row r="334">
      <c r="E334" s="11"/>
    </row>
    <row r="335">
      <c r="E335" s="11"/>
    </row>
    <row r="336">
      <c r="E336" s="11"/>
    </row>
    <row r="337">
      <c r="E337" s="11"/>
    </row>
    <row r="338">
      <c r="E338" s="11"/>
    </row>
    <row r="339">
      <c r="E339" s="11"/>
    </row>
    <row r="340">
      <c r="E340" s="11"/>
    </row>
    <row r="341">
      <c r="E341" s="11"/>
    </row>
    <row r="342">
      <c r="E342" s="11"/>
    </row>
    <row r="343">
      <c r="E343" s="11"/>
    </row>
    <row r="344">
      <c r="E344" s="11"/>
    </row>
    <row r="345">
      <c r="E345" s="11"/>
    </row>
    <row r="346">
      <c r="E346" s="11"/>
    </row>
    <row r="347">
      <c r="E347" s="11"/>
    </row>
    <row r="348">
      <c r="E348" s="11"/>
    </row>
    <row r="349">
      <c r="E349" s="11"/>
    </row>
    <row r="350">
      <c r="E350" s="11"/>
    </row>
    <row r="351">
      <c r="E351" s="11"/>
    </row>
    <row r="352">
      <c r="E352" s="11"/>
    </row>
    <row r="353">
      <c r="E353" s="11"/>
    </row>
    <row r="354">
      <c r="E354" s="11"/>
    </row>
    <row r="355">
      <c r="E355" s="11"/>
    </row>
    <row r="356">
      <c r="E356" s="11"/>
    </row>
    <row r="357">
      <c r="E357" s="11"/>
    </row>
    <row r="358">
      <c r="E358" s="11"/>
    </row>
    <row r="359">
      <c r="E359" s="11"/>
    </row>
    <row r="360">
      <c r="E360" s="11"/>
    </row>
    <row r="361">
      <c r="E361" s="11"/>
    </row>
    <row r="362">
      <c r="E362" s="11"/>
    </row>
    <row r="363">
      <c r="E363" s="11"/>
    </row>
    <row r="364">
      <c r="E364" s="11"/>
    </row>
    <row r="365">
      <c r="E365" s="11"/>
    </row>
    <row r="366">
      <c r="E366" s="11"/>
    </row>
    <row r="367">
      <c r="E367" s="11"/>
    </row>
    <row r="368">
      <c r="E368" s="11"/>
    </row>
    <row r="369">
      <c r="E369" s="11"/>
    </row>
    <row r="370">
      <c r="E370" s="11"/>
    </row>
    <row r="371">
      <c r="E371" s="11"/>
    </row>
    <row r="372">
      <c r="E372" s="11"/>
    </row>
    <row r="373">
      <c r="E373" s="11"/>
    </row>
    <row r="374">
      <c r="E374" s="11"/>
    </row>
    <row r="375">
      <c r="E375" s="11"/>
    </row>
    <row r="376">
      <c r="E376" s="11"/>
    </row>
    <row r="377">
      <c r="E377" s="11"/>
    </row>
    <row r="378">
      <c r="E378" s="11"/>
    </row>
    <row r="379">
      <c r="E379" s="11"/>
    </row>
    <row r="380">
      <c r="E380" s="11"/>
    </row>
    <row r="381">
      <c r="E381" s="11"/>
    </row>
    <row r="382">
      <c r="E382" s="11"/>
    </row>
    <row r="383">
      <c r="E383" s="11"/>
    </row>
    <row r="384">
      <c r="E384" s="11"/>
    </row>
    <row r="385">
      <c r="E385" s="11"/>
    </row>
    <row r="386">
      <c r="E386" s="11"/>
    </row>
    <row r="387">
      <c r="E387" s="11"/>
    </row>
    <row r="388">
      <c r="E388" s="11"/>
    </row>
    <row r="389">
      <c r="E389" s="11"/>
    </row>
    <row r="390">
      <c r="E390" s="11"/>
    </row>
    <row r="391">
      <c r="E391" s="11"/>
    </row>
    <row r="392">
      <c r="E392" s="11"/>
    </row>
    <row r="393">
      <c r="E393" s="11"/>
    </row>
    <row r="394">
      <c r="E394" s="11"/>
    </row>
    <row r="395">
      <c r="E395" s="11"/>
    </row>
    <row r="396">
      <c r="E396" s="11"/>
    </row>
    <row r="397">
      <c r="E397" s="11"/>
    </row>
    <row r="398">
      <c r="E398" s="11"/>
    </row>
    <row r="399">
      <c r="E399" s="11"/>
    </row>
    <row r="400">
      <c r="E400" s="11"/>
    </row>
    <row r="401">
      <c r="E401" s="11"/>
    </row>
    <row r="402">
      <c r="E402" s="11"/>
    </row>
    <row r="403">
      <c r="E403" s="11"/>
    </row>
    <row r="404">
      <c r="E404" s="11"/>
    </row>
    <row r="405">
      <c r="E405" s="11"/>
    </row>
    <row r="406">
      <c r="E406" s="11"/>
    </row>
    <row r="407">
      <c r="E407" s="11"/>
    </row>
    <row r="408">
      <c r="E408" s="11"/>
    </row>
    <row r="409">
      <c r="E409" s="11"/>
    </row>
    <row r="410">
      <c r="E410" s="11"/>
    </row>
    <row r="411">
      <c r="E411" s="11"/>
    </row>
    <row r="412">
      <c r="E412" s="11"/>
    </row>
    <row r="413">
      <c r="E413" s="11"/>
    </row>
    <row r="414">
      <c r="E414" s="11"/>
    </row>
    <row r="415">
      <c r="E415" s="11"/>
    </row>
    <row r="416">
      <c r="E416" s="11"/>
    </row>
    <row r="417">
      <c r="E417" s="11"/>
    </row>
    <row r="418">
      <c r="E418" s="11"/>
    </row>
    <row r="419">
      <c r="E419" s="11"/>
    </row>
    <row r="420">
      <c r="E420" s="11"/>
    </row>
    <row r="421">
      <c r="E421" s="11"/>
    </row>
    <row r="422">
      <c r="E422" s="11"/>
    </row>
    <row r="423">
      <c r="E423" s="11"/>
    </row>
    <row r="424">
      <c r="E424" s="11"/>
    </row>
    <row r="425">
      <c r="E425" s="11"/>
    </row>
    <row r="426">
      <c r="E426" s="11"/>
    </row>
    <row r="427">
      <c r="E427" s="11"/>
    </row>
    <row r="428">
      <c r="E428" s="11"/>
    </row>
    <row r="429">
      <c r="E429" s="11"/>
    </row>
    <row r="430">
      <c r="E430" s="11"/>
    </row>
    <row r="431">
      <c r="E431" s="11"/>
    </row>
    <row r="432">
      <c r="E432" s="11"/>
    </row>
    <row r="433">
      <c r="E433" s="11"/>
    </row>
    <row r="434">
      <c r="E434" s="11"/>
    </row>
    <row r="435">
      <c r="E435" s="11"/>
    </row>
    <row r="436">
      <c r="E436" s="11"/>
    </row>
    <row r="437">
      <c r="E437" s="11"/>
    </row>
    <row r="438">
      <c r="E438" s="11"/>
    </row>
    <row r="439">
      <c r="E439" s="11"/>
    </row>
    <row r="440">
      <c r="E440" s="11"/>
    </row>
    <row r="441">
      <c r="E441" s="11"/>
    </row>
    <row r="442">
      <c r="E442" s="11"/>
    </row>
    <row r="443">
      <c r="E443" s="11"/>
    </row>
    <row r="444">
      <c r="E444" s="11"/>
    </row>
    <row r="445">
      <c r="E445" s="11"/>
    </row>
    <row r="446">
      <c r="E446" s="11"/>
    </row>
    <row r="447">
      <c r="E447" s="11"/>
    </row>
    <row r="448">
      <c r="E448" s="11"/>
    </row>
    <row r="449">
      <c r="E449" s="11"/>
    </row>
    <row r="450">
      <c r="E450" s="11"/>
    </row>
    <row r="451">
      <c r="E451" s="11"/>
    </row>
    <row r="452">
      <c r="E452" s="11"/>
    </row>
    <row r="453">
      <c r="E453" s="11"/>
    </row>
    <row r="454">
      <c r="E454" s="11"/>
    </row>
    <row r="455">
      <c r="E455" s="11"/>
    </row>
    <row r="456">
      <c r="E456" s="11"/>
    </row>
    <row r="457">
      <c r="E457" s="11"/>
    </row>
    <row r="458">
      <c r="E458" s="11"/>
    </row>
    <row r="459">
      <c r="E459" s="11"/>
    </row>
    <row r="460">
      <c r="E460" s="11"/>
    </row>
    <row r="461">
      <c r="E461" s="11"/>
    </row>
    <row r="462">
      <c r="E462" s="11"/>
    </row>
    <row r="463">
      <c r="E463" s="11"/>
    </row>
    <row r="464">
      <c r="E464" s="11"/>
    </row>
    <row r="465">
      <c r="E465" s="11"/>
    </row>
    <row r="466">
      <c r="E466" s="11"/>
    </row>
    <row r="467">
      <c r="E467" s="11"/>
    </row>
    <row r="468">
      <c r="E468" s="11"/>
    </row>
    <row r="469">
      <c r="E469" s="11"/>
    </row>
    <row r="470">
      <c r="E470" s="11"/>
    </row>
    <row r="471">
      <c r="E471" s="11"/>
    </row>
    <row r="472">
      <c r="E472" s="11"/>
    </row>
    <row r="473">
      <c r="E473" s="11"/>
    </row>
    <row r="474">
      <c r="E474" s="11"/>
    </row>
    <row r="475">
      <c r="E475" s="11"/>
    </row>
    <row r="476">
      <c r="E476" s="11"/>
    </row>
    <row r="477">
      <c r="E477" s="11"/>
    </row>
    <row r="478">
      <c r="E478" s="11"/>
    </row>
    <row r="479">
      <c r="E479" s="11"/>
    </row>
    <row r="480">
      <c r="E480" s="11"/>
    </row>
    <row r="481">
      <c r="E481" s="11"/>
    </row>
    <row r="482">
      <c r="E482" s="11"/>
    </row>
    <row r="483">
      <c r="E483" s="11"/>
    </row>
    <row r="484">
      <c r="E484" s="11"/>
    </row>
    <row r="485">
      <c r="E485" s="11"/>
    </row>
    <row r="486">
      <c r="E486" s="11"/>
    </row>
    <row r="487">
      <c r="E487" s="11"/>
    </row>
    <row r="488">
      <c r="E488" s="11"/>
    </row>
    <row r="489">
      <c r="E489" s="11"/>
    </row>
    <row r="490">
      <c r="E490" s="11"/>
    </row>
    <row r="491">
      <c r="E491" s="11"/>
    </row>
    <row r="492">
      <c r="E492" s="11"/>
    </row>
    <row r="493">
      <c r="E493" s="11"/>
    </row>
    <row r="494">
      <c r="E494" s="11"/>
    </row>
    <row r="495">
      <c r="E495" s="11"/>
    </row>
    <row r="496">
      <c r="E496" s="11"/>
    </row>
    <row r="497">
      <c r="E497" s="11"/>
    </row>
    <row r="498">
      <c r="E498" s="11"/>
    </row>
    <row r="499">
      <c r="E499" s="11"/>
    </row>
    <row r="500">
      <c r="E500" s="11"/>
    </row>
    <row r="501">
      <c r="E501" s="11"/>
    </row>
    <row r="502">
      <c r="E502" s="11"/>
    </row>
    <row r="503">
      <c r="E503" s="11"/>
    </row>
    <row r="504">
      <c r="E504" s="11"/>
    </row>
    <row r="505">
      <c r="E505" s="11"/>
    </row>
    <row r="506">
      <c r="E506" s="11"/>
    </row>
    <row r="507">
      <c r="E507" s="11"/>
    </row>
    <row r="508">
      <c r="E508" s="11"/>
    </row>
    <row r="509">
      <c r="E509" s="11"/>
    </row>
    <row r="510">
      <c r="E510" s="11"/>
    </row>
    <row r="511">
      <c r="E511" s="11"/>
    </row>
    <row r="512">
      <c r="E512" s="11"/>
    </row>
    <row r="513">
      <c r="E513" s="11"/>
    </row>
    <row r="514">
      <c r="E514" s="11"/>
    </row>
    <row r="515">
      <c r="E515" s="11"/>
    </row>
    <row r="516">
      <c r="E516" s="11"/>
    </row>
    <row r="517">
      <c r="E517" s="11"/>
    </row>
    <row r="518">
      <c r="E518" s="11"/>
    </row>
    <row r="519">
      <c r="E519" s="11"/>
    </row>
    <row r="520">
      <c r="E520" s="11"/>
    </row>
    <row r="521">
      <c r="E521" s="11"/>
    </row>
    <row r="522">
      <c r="E522" s="11"/>
    </row>
    <row r="523">
      <c r="E523" s="11"/>
    </row>
    <row r="524">
      <c r="E524" s="11"/>
    </row>
    <row r="525">
      <c r="E525" s="11"/>
    </row>
    <row r="526">
      <c r="E526" s="11"/>
    </row>
    <row r="527">
      <c r="E527" s="11"/>
    </row>
    <row r="528">
      <c r="E528" s="11"/>
    </row>
    <row r="529">
      <c r="E529" s="11"/>
    </row>
    <row r="530">
      <c r="E530" s="11"/>
    </row>
    <row r="531">
      <c r="E531" s="11"/>
    </row>
    <row r="532">
      <c r="E532" s="11"/>
    </row>
    <row r="533">
      <c r="E533" s="11"/>
    </row>
    <row r="534">
      <c r="E534" s="11"/>
    </row>
    <row r="535">
      <c r="E535" s="11"/>
    </row>
    <row r="536">
      <c r="E536" s="11"/>
    </row>
    <row r="537">
      <c r="E537" s="11"/>
    </row>
    <row r="538">
      <c r="E538" s="11"/>
    </row>
    <row r="539">
      <c r="E539" s="11"/>
    </row>
    <row r="540">
      <c r="E540" s="11"/>
    </row>
    <row r="541">
      <c r="E541" s="11"/>
    </row>
    <row r="542">
      <c r="E542" s="11"/>
    </row>
    <row r="543">
      <c r="E543" s="11"/>
    </row>
    <row r="544">
      <c r="E544" s="11"/>
    </row>
    <row r="545">
      <c r="E545" s="11"/>
    </row>
    <row r="546">
      <c r="E546" s="11"/>
    </row>
    <row r="547">
      <c r="E547" s="11"/>
    </row>
    <row r="548">
      <c r="E548" s="11"/>
    </row>
    <row r="549">
      <c r="E549" s="11"/>
    </row>
    <row r="550">
      <c r="E550" s="11"/>
    </row>
    <row r="551">
      <c r="E551" s="11"/>
    </row>
    <row r="552">
      <c r="E552" s="11"/>
    </row>
    <row r="553">
      <c r="E553" s="11"/>
    </row>
    <row r="554">
      <c r="E554" s="11"/>
    </row>
    <row r="555">
      <c r="E555" s="11"/>
    </row>
    <row r="556">
      <c r="E556" s="11"/>
    </row>
    <row r="557">
      <c r="E557" s="11"/>
    </row>
    <row r="558">
      <c r="E558" s="11"/>
    </row>
    <row r="559">
      <c r="E559" s="11"/>
    </row>
    <row r="560">
      <c r="E560" s="11"/>
    </row>
    <row r="561">
      <c r="E561" s="11"/>
    </row>
    <row r="562">
      <c r="E562" s="11"/>
    </row>
    <row r="563">
      <c r="E563" s="11"/>
    </row>
    <row r="564">
      <c r="E564" s="11"/>
    </row>
    <row r="565">
      <c r="E565" s="11"/>
    </row>
    <row r="566">
      <c r="E566" s="11"/>
    </row>
    <row r="567">
      <c r="E567" s="11"/>
    </row>
    <row r="568">
      <c r="E568" s="11"/>
    </row>
    <row r="569">
      <c r="E569" s="11"/>
    </row>
    <row r="570">
      <c r="E570" s="11"/>
    </row>
    <row r="571">
      <c r="E571" s="11"/>
    </row>
    <row r="572">
      <c r="E572" s="11"/>
    </row>
    <row r="573">
      <c r="E573" s="11"/>
    </row>
    <row r="574">
      <c r="E574" s="11"/>
    </row>
    <row r="575">
      <c r="E575" s="11"/>
    </row>
    <row r="576">
      <c r="E576" s="11"/>
    </row>
    <row r="577">
      <c r="E577" s="11"/>
    </row>
    <row r="578">
      <c r="E578" s="11"/>
    </row>
    <row r="579">
      <c r="E579" s="11"/>
    </row>
    <row r="580">
      <c r="E580" s="11"/>
    </row>
    <row r="581">
      <c r="E581" s="11"/>
    </row>
    <row r="582">
      <c r="E582" s="11"/>
    </row>
    <row r="583">
      <c r="E583" s="11"/>
    </row>
    <row r="584">
      <c r="E584" s="11"/>
    </row>
    <row r="585">
      <c r="E585" s="11"/>
    </row>
    <row r="586">
      <c r="E586" s="11"/>
    </row>
    <row r="587">
      <c r="E587" s="11"/>
    </row>
    <row r="588">
      <c r="E588" s="11"/>
    </row>
    <row r="589">
      <c r="E589" s="11"/>
    </row>
    <row r="590">
      <c r="E590" s="11"/>
    </row>
    <row r="591">
      <c r="E591" s="11"/>
    </row>
    <row r="592">
      <c r="E592" s="11"/>
    </row>
    <row r="593">
      <c r="E593" s="11"/>
    </row>
    <row r="594">
      <c r="E594" s="11"/>
    </row>
    <row r="595">
      <c r="E595" s="11"/>
    </row>
    <row r="596">
      <c r="E596" s="11"/>
    </row>
    <row r="597">
      <c r="E597" s="11"/>
    </row>
    <row r="598">
      <c r="E598" s="11"/>
    </row>
    <row r="599">
      <c r="E599" s="11"/>
    </row>
    <row r="600">
      <c r="E600" s="11"/>
    </row>
    <row r="601">
      <c r="E601" s="11"/>
    </row>
    <row r="602">
      <c r="E602" s="11"/>
    </row>
    <row r="603">
      <c r="E603" s="11"/>
    </row>
    <row r="604">
      <c r="E604" s="11"/>
    </row>
    <row r="605">
      <c r="E605" s="11"/>
    </row>
    <row r="606">
      <c r="E606" s="11"/>
    </row>
    <row r="607">
      <c r="E607" s="11"/>
    </row>
    <row r="608">
      <c r="E608" s="11"/>
    </row>
    <row r="609">
      <c r="E609" s="11"/>
    </row>
    <row r="610">
      <c r="E610" s="11"/>
    </row>
    <row r="611">
      <c r="E611" s="11"/>
    </row>
    <row r="612">
      <c r="E612" s="11"/>
    </row>
    <row r="613">
      <c r="E613" s="11"/>
    </row>
    <row r="614">
      <c r="E614" s="11"/>
    </row>
    <row r="615">
      <c r="E615" s="11"/>
    </row>
    <row r="616">
      <c r="E616" s="11"/>
    </row>
    <row r="617">
      <c r="E617" s="11"/>
    </row>
    <row r="618">
      <c r="E618" s="11"/>
    </row>
    <row r="619">
      <c r="E619" s="11"/>
    </row>
    <row r="620">
      <c r="E620" s="11"/>
    </row>
    <row r="621">
      <c r="E621" s="11"/>
    </row>
    <row r="622">
      <c r="E622" s="11"/>
    </row>
    <row r="623">
      <c r="E623" s="11"/>
    </row>
    <row r="624">
      <c r="E624" s="11"/>
    </row>
    <row r="625">
      <c r="E625" s="11"/>
    </row>
    <row r="626">
      <c r="E626" s="11"/>
    </row>
    <row r="627">
      <c r="E627" s="11"/>
    </row>
    <row r="628">
      <c r="E628" s="11"/>
    </row>
    <row r="629">
      <c r="E629" s="11"/>
    </row>
    <row r="630">
      <c r="E630" s="11"/>
    </row>
    <row r="631">
      <c r="E631" s="11"/>
    </row>
    <row r="632">
      <c r="E632" s="11"/>
    </row>
    <row r="633">
      <c r="E633" s="11"/>
    </row>
    <row r="634">
      <c r="E634" s="11"/>
    </row>
    <row r="635">
      <c r="E635" s="11"/>
    </row>
    <row r="636">
      <c r="E636" s="11"/>
    </row>
    <row r="637">
      <c r="E637" s="11"/>
    </row>
    <row r="638">
      <c r="E638" s="11"/>
    </row>
    <row r="639">
      <c r="E639" s="11"/>
    </row>
    <row r="640">
      <c r="E640" s="11"/>
    </row>
    <row r="641">
      <c r="E641" s="11"/>
    </row>
    <row r="642">
      <c r="E642" s="11"/>
    </row>
    <row r="643">
      <c r="E643" s="11"/>
    </row>
    <row r="644">
      <c r="E644" s="11"/>
    </row>
    <row r="645">
      <c r="E645" s="11"/>
    </row>
    <row r="646">
      <c r="E646" s="11"/>
    </row>
    <row r="647">
      <c r="E647" s="11"/>
    </row>
    <row r="648">
      <c r="E648" s="11"/>
    </row>
    <row r="649">
      <c r="E649" s="11"/>
    </row>
    <row r="650">
      <c r="E650" s="11"/>
    </row>
    <row r="651">
      <c r="E651" s="11"/>
    </row>
    <row r="652">
      <c r="E652" s="11"/>
    </row>
    <row r="653">
      <c r="E653" s="11"/>
    </row>
    <row r="654">
      <c r="E654" s="11"/>
    </row>
    <row r="655">
      <c r="E655" s="11"/>
    </row>
    <row r="656">
      <c r="E656" s="11"/>
    </row>
    <row r="657">
      <c r="E657" s="11"/>
    </row>
    <row r="658">
      <c r="E658" s="11"/>
    </row>
    <row r="659">
      <c r="E659" s="11"/>
    </row>
    <row r="660">
      <c r="E660" s="11"/>
    </row>
    <row r="661">
      <c r="E661" s="11"/>
    </row>
    <row r="662">
      <c r="E662" s="11"/>
    </row>
    <row r="663">
      <c r="E663" s="11"/>
    </row>
    <row r="664">
      <c r="E664" s="11"/>
    </row>
    <row r="665">
      <c r="E665" s="11"/>
    </row>
    <row r="666">
      <c r="E666" s="11"/>
    </row>
    <row r="667">
      <c r="E667" s="11"/>
    </row>
    <row r="668">
      <c r="E668" s="11"/>
    </row>
    <row r="669">
      <c r="E669" s="11"/>
    </row>
    <row r="670">
      <c r="E670" s="11"/>
    </row>
    <row r="671">
      <c r="E671" s="11"/>
    </row>
    <row r="672">
      <c r="E672" s="11"/>
    </row>
    <row r="673">
      <c r="E673" s="11"/>
    </row>
    <row r="674">
      <c r="E674" s="11"/>
    </row>
    <row r="675">
      <c r="E675" s="11"/>
    </row>
    <row r="676">
      <c r="E676" s="11"/>
    </row>
    <row r="677">
      <c r="E677" s="11"/>
    </row>
    <row r="678">
      <c r="E678" s="11"/>
    </row>
    <row r="679">
      <c r="E679" s="11"/>
    </row>
    <row r="680">
      <c r="E680" s="11"/>
    </row>
    <row r="681">
      <c r="E681" s="11"/>
    </row>
    <row r="682">
      <c r="E682" s="11"/>
    </row>
    <row r="683">
      <c r="E683" s="11"/>
    </row>
    <row r="684">
      <c r="E684" s="11"/>
    </row>
    <row r="685">
      <c r="E685" s="11"/>
    </row>
    <row r="686">
      <c r="E686" s="11"/>
    </row>
    <row r="687">
      <c r="E687" s="11"/>
    </row>
    <row r="688">
      <c r="E688" s="11"/>
    </row>
    <row r="689">
      <c r="E689" s="11"/>
    </row>
    <row r="690">
      <c r="E690" s="11"/>
    </row>
    <row r="691">
      <c r="E691" s="11"/>
    </row>
    <row r="692">
      <c r="E692" s="11"/>
    </row>
    <row r="693">
      <c r="E693" s="11"/>
    </row>
    <row r="694">
      <c r="E694" s="11"/>
    </row>
    <row r="695">
      <c r="E695" s="11"/>
    </row>
    <row r="696">
      <c r="E696" s="11"/>
    </row>
    <row r="697">
      <c r="E697" s="11"/>
    </row>
    <row r="698">
      <c r="E698" s="11"/>
    </row>
    <row r="699">
      <c r="E699" s="11"/>
    </row>
    <row r="700">
      <c r="E700" s="11"/>
    </row>
    <row r="701">
      <c r="E701" s="11"/>
    </row>
    <row r="702">
      <c r="E702" s="11"/>
    </row>
    <row r="703">
      <c r="E703" s="11"/>
    </row>
    <row r="704">
      <c r="E704" s="11"/>
    </row>
    <row r="705">
      <c r="E705" s="11"/>
    </row>
    <row r="706">
      <c r="E706" s="11"/>
    </row>
    <row r="707">
      <c r="E707" s="11"/>
    </row>
    <row r="708">
      <c r="E708" s="11"/>
    </row>
    <row r="709">
      <c r="E709" s="11"/>
    </row>
    <row r="710">
      <c r="E710" s="11"/>
    </row>
    <row r="711">
      <c r="E711" s="11"/>
    </row>
    <row r="712">
      <c r="E712" s="11"/>
    </row>
    <row r="713">
      <c r="E713" s="11"/>
    </row>
    <row r="714">
      <c r="E714" s="11"/>
    </row>
    <row r="715">
      <c r="E715" s="11"/>
    </row>
    <row r="716">
      <c r="E716" s="11"/>
    </row>
    <row r="717">
      <c r="E717" s="11"/>
    </row>
    <row r="718">
      <c r="E718" s="11"/>
    </row>
    <row r="719">
      <c r="E719" s="11"/>
    </row>
    <row r="720">
      <c r="E720" s="11"/>
    </row>
    <row r="721">
      <c r="E721" s="11"/>
    </row>
    <row r="722">
      <c r="E722" s="11"/>
    </row>
    <row r="723">
      <c r="E723" s="11"/>
    </row>
    <row r="724">
      <c r="E724" s="11"/>
    </row>
    <row r="725">
      <c r="E725" s="11"/>
    </row>
    <row r="726">
      <c r="E726" s="11"/>
    </row>
    <row r="727">
      <c r="E727" s="11"/>
    </row>
    <row r="728">
      <c r="E728" s="11"/>
    </row>
    <row r="729">
      <c r="E729" s="11"/>
    </row>
    <row r="730">
      <c r="E730" s="11"/>
    </row>
    <row r="731">
      <c r="E731" s="11"/>
    </row>
    <row r="732">
      <c r="E732" s="11"/>
    </row>
    <row r="733">
      <c r="E733" s="11"/>
    </row>
    <row r="734">
      <c r="E734" s="11"/>
    </row>
    <row r="735">
      <c r="E735" s="11"/>
    </row>
    <row r="736">
      <c r="E736" s="11"/>
    </row>
    <row r="737">
      <c r="E737" s="11"/>
    </row>
    <row r="738">
      <c r="E738" s="11"/>
    </row>
    <row r="739">
      <c r="E739" s="11"/>
    </row>
    <row r="740">
      <c r="E740" s="11"/>
    </row>
    <row r="741">
      <c r="E741" s="11"/>
    </row>
    <row r="742">
      <c r="E742" s="11"/>
    </row>
    <row r="743">
      <c r="E743" s="11"/>
    </row>
    <row r="744">
      <c r="E744" s="11"/>
    </row>
    <row r="745">
      <c r="E745" s="11"/>
    </row>
    <row r="746">
      <c r="E746" s="11"/>
    </row>
    <row r="747">
      <c r="E747" s="11"/>
    </row>
    <row r="748">
      <c r="E748" s="11"/>
    </row>
    <row r="749">
      <c r="E749" s="11"/>
    </row>
    <row r="750">
      <c r="E750" s="11"/>
    </row>
    <row r="751">
      <c r="E751" s="11"/>
    </row>
    <row r="752">
      <c r="E752" s="11"/>
    </row>
    <row r="753">
      <c r="E753" s="11"/>
    </row>
    <row r="754">
      <c r="E754" s="11"/>
    </row>
    <row r="755">
      <c r="E755" s="11"/>
    </row>
    <row r="756">
      <c r="E756" s="11"/>
    </row>
    <row r="757">
      <c r="E757" s="11"/>
    </row>
    <row r="758">
      <c r="E758" s="11"/>
    </row>
    <row r="759">
      <c r="E759" s="11"/>
    </row>
    <row r="760">
      <c r="E760" s="11"/>
    </row>
    <row r="761">
      <c r="E761" s="11"/>
    </row>
    <row r="762">
      <c r="E762" s="11"/>
    </row>
    <row r="763">
      <c r="E763" s="11"/>
    </row>
    <row r="764">
      <c r="E764" s="11"/>
    </row>
    <row r="765">
      <c r="E765" s="11"/>
    </row>
    <row r="766">
      <c r="E766" s="11"/>
    </row>
    <row r="767">
      <c r="E767" s="11"/>
    </row>
    <row r="768">
      <c r="E768" s="11"/>
    </row>
    <row r="769">
      <c r="E769" s="11"/>
    </row>
    <row r="770">
      <c r="E770" s="11"/>
    </row>
    <row r="771">
      <c r="E771" s="11"/>
    </row>
    <row r="772">
      <c r="E772" s="11"/>
    </row>
    <row r="773">
      <c r="E773" s="11"/>
    </row>
    <row r="774">
      <c r="E774" s="11"/>
    </row>
    <row r="775">
      <c r="E775" s="11"/>
    </row>
    <row r="776">
      <c r="E776" s="11"/>
    </row>
    <row r="777">
      <c r="E777" s="11"/>
    </row>
    <row r="778">
      <c r="E778" s="11"/>
    </row>
    <row r="779">
      <c r="E779" s="11"/>
    </row>
    <row r="780">
      <c r="E780" s="11"/>
    </row>
    <row r="781">
      <c r="E781" s="11"/>
    </row>
    <row r="782">
      <c r="E782" s="11"/>
    </row>
    <row r="783">
      <c r="E783" s="11"/>
    </row>
    <row r="784">
      <c r="E784" s="11"/>
    </row>
    <row r="785">
      <c r="E785" s="11"/>
    </row>
    <row r="786">
      <c r="E786" s="11"/>
    </row>
    <row r="787">
      <c r="E787" s="11"/>
    </row>
    <row r="788">
      <c r="E788" s="11"/>
    </row>
    <row r="789">
      <c r="E789" s="11"/>
    </row>
    <row r="790">
      <c r="E790" s="11"/>
    </row>
    <row r="791">
      <c r="E791" s="11"/>
    </row>
    <row r="792">
      <c r="E792" s="11"/>
    </row>
    <row r="793">
      <c r="E793" s="11"/>
    </row>
    <row r="794">
      <c r="E794" s="11"/>
    </row>
    <row r="795">
      <c r="E795" s="11"/>
    </row>
    <row r="796">
      <c r="E796" s="11"/>
    </row>
    <row r="797">
      <c r="E797" s="11"/>
    </row>
    <row r="798">
      <c r="E798" s="11"/>
    </row>
    <row r="799">
      <c r="E799" s="11"/>
    </row>
    <row r="800">
      <c r="E800" s="11"/>
    </row>
    <row r="801">
      <c r="E801" s="11"/>
    </row>
    <row r="802">
      <c r="E802" s="11"/>
    </row>
    <row r="803">
      <c r="E803" s="11"/>
    </row>
    <row r="804">
      <c r="E804" s="11"/>
    </row>
    <row r="805">
      <c r="E805" s="11"/>
    </row>
    <row r="806">
      <c r="E806" s="11"/>
    </row>
    <row r="807">
      <c r="E807" s="11"/>
    </row>
    <row r="808">
      <c r="E808" s="11"/>
    </row>
    <row r="809">
      <c r="E809" s="11"/>
    </row>
    <row r="810">
      <c r="E810" s="11"/>
    </row>
    <row r="811">
      <c r="E811" s="11"/>
    </row>
    <row r="812">
      <c r="E812" s="11"/>
    </row>
    <row r="813">
      <c r="E813" s="11"/>
    </row>
    <row r="814">
      <c r="E814" s="11"/>
    </row>
    <row r="815">
      <c r="E815" s="11"/>
    </row>
    <row r="816">
      <c r="E816" s="11"/>
    </row>
    <row r="817">
      <c r="E817" s="11"/>
    </row>
    <row r="818">
      <c r="E818" s="11"/>
    </row>
    <row r="819">
      <c r="E819" s="11"/>
    </row>
    <row r="820">
      <c r="E820" s="11"/>
    </row>
    <row r="821">
      <c r="E821" s="11"/>
    </row>
    <row r="822">
      <c r="E822" s="11"/>
    </row>
    <row r="823">
      <c r="E823" s="11"/>
    </row>
    <row r="824">
      <c r="E824" s="11"/>
    </row>
    <row r="825">
      <c r="E825" s="11"/>
    </row>
    <row r="826">
      <c r="E826" s="11"/>
    </row>
    <row r="827">
      <c r="E827" s="11"/>
    </row>
    <row r="828">
      <c r="E828" s="11"/>
    </row>
    <row r="829">
      <c r="E829" s="11"/>
    </row>
    <row r="830">
      <c r="E830" s="11"/>
    </row>
    <row r="831">
      <c r="E831" s="11"/>
    </row>
    <row r="832">
      <c r="E832" s="11"/>
    </row>
    <row r="833">
      <c r="E833" s="11"/>
    </row>
    <row r="834">
      <c r="E834" s="11"/>
    </row>
    <row r="835">
      <c r="E835" s="11"/>
    </row>
    <row r="836">
      <c r="E836" s="11"/>
    </row>
    <row r="837">
      <c r="E837" s="11"/>
    </row>
    <row r="838">
      <c r="E838" s="11"/>
    </row>
    <row r="839">
      <c r="E839" s="11"/>
    </row>
    <row r="840">
      <c r="E840" s="11"/>
    </row>
    <row r="841">
      <c r="E841" s="11"/>
    </row>
    <row r="842">
      <c r="E842" s="11"/>
    </row>
    <row r="843">
      <c r="E843" s="11"/>
    </row>
    <row r="844">
      <c r="E844" s="11"/>
    </row>
    <row r="845">
      <c r="E845" s="11"/>
    </row>
    <row r="846">
      <c r="E846" s="11"/>
    </row>
    <row r="847">
      <c r="E847" s="11"/>
    </row>
    <row r="848">
      <c r="E848" s="11"/>
    </row>
    <row r="849">
      <c r="E849" s="11"/>
    </row>
    <row r="850">
      <c r="E850" s="11"/>
    </row>
    <row r="851">
      <c r="E851" s="11"/>
    </row>
    <row r="852">
      <c r="E852" s="11"/>
    </row>
    <row r="853">
      <c r="E853" s="11"/>
    </row>
    <row r="854">
      <c r="E854" s="11"/>
    </row>
    <row r="855">
      <c r="E855" s="11"/>
    </row>
    <row r="856">
      <c r="E856" s="11"/>
    </row>
    <row r="857">
      <c r="E857" s="11"/>
    </row>
    <row r="858">
      <c r="E858" s="11"/>
    </row>
    <row r="859">
      <c r="E859" s="11"/>
    </row>
    <row r="860">
      <c r="E860" s="11"/>
    </row>
    <row r="861">
      <c r="E861" s="11"/>
    </row>
    <row r="862">
      <c r="E862" s="11"/>
    </row>
    <row r="863">
      <c r="E863" s="11"/>
    </row>
    <row r="864">
      <c r="E864" s="11"/>
    </row>
    <row r="865">
      <c r="E865" s="11"/>
    </row>
    <row r="866">
      <c r="E866" s="11"/>
    </row>
    <row r="867">
      <c r="E867" s="11"/>
    </row>
    <row r="868">
      <c r="E868" s="11"/>
    </row>
    <row r="869">
      <c r="E869" s="11"/>
    </row>
    <row r="870">
      <c r="E870" s="11"/>
    </row>
    <row r="871">
      <c r="E871" s="11"/>
    </row>
    <row r="872">
      <c r="E872" s="11"/>
    </row>
    <row r="873">
      <c r="E873" s="11"/>
    </row>
    <row r="874">
      <c r="E874" s="11"/>
    </row>
    <row r="875">
      <c r="E875" s="11"/>
    </row>
    <row r="876">
      <c r="E876" s="11"/>
    </row>
    <row r="877">
      <c r="E877" s="11"/>
    </row>
    <row r="878">
      <c r="E878" s="11"/>
    </row>
    <row r="879">
      <c r="E879" s="11"/>
    </row>
    <row r="880">
      <c r="E880" s="11"/>
    </row>
    <row r="881">
      <c r="E881" s="11"/>
    </row>
    <row r="882">
      <c r="E882" s="11"/>
    </row>
    <row r="883">
      <c r="E883" s="11"/>
    </row>
    <row r="884">
      <c r="E884" s="11"/>
    </row>
    <row r="885">
      <c r="E885" s="11"/>
    </row>
    <row r="886">
      <c r="E886" s="11"/>
    </row>
    <row r="887">
      <c r="E887" s="11"/>
    </row>
    <row r="888">
      <c r="E888" s="11"/>
    </row>
    <row r="889">
      <c r="E889" s="11"/>
    </row>
    <row r="890">
      <c r="E890" s="11"/>
    </row>
    <row r="891">
      <c r="E891" s="11"/>
    </row>
    <row r="892">
      <c r="E892" s="11"/>
    </row>
    <row r="893">
      <c r="E893" s="11"/>
    </row>
    <row r="894">
      <c r="E894" s="11"/>
    </row>
    <row r="895">
      <c r="E895" s="11"/>
    </row>
    <row r="896">
      <c r="E896" s="11"/>
    </row>
    <row r="897">
      <c r="E897" s="11"/>
    </row>
    <row r="898">
      <c r="E898" s="11"/>
    </row>
    <row r="899">
      <c r="E899" s="11"/>
    </row>
    <row r="900">
      <c r="E900" s="11"/>
    </row>
    <row r="901">
      <c r="E901" s="11"/>
    </row>
    <row r="902">
      <c r="E902" s="11"/>
    </row>
    <row r="903">
      <c r="E903" s="11"/>
    </row>
    <row r="904">
      <c r="E904" s="11"/>
    </row>
    <row r="905">
      <c r="E905" s="11"/>
    </row>
    <row r="906">
      <c r="E906" s="11"/>
    </row>
    <row r="907">
      <c r="E907" s="11"/>
    </row>
    <row r="908">
      <c r="E908" s="11"/>
    </row>
    <row r="909">
      <c r="E909" s="11"/>
    </row>
    <row r="910">
      <c r="E910" s="11"/>
    </row>
    <row r="911">
      <c r="E911" s="11"/>
    </row>
    <row r="912">
      <c r="E912" s="11"/>
    </row>
    <row r="913">
      <c r="E913" s="11"/>
    </row>
    <row r="914">
      <c r="E914" s="11"/>
    </row>
    <row r="915">
      <c r="E915" s="11"/>
    </row>
    <row r="916">
      <c r="E916" s="11"/>
    </row>
    <row r="917">
      <c r="E917" s="11"/>
    </row>
    <row r="918">
      <c r="E918" s="11"/>
    </row>
    <row r="919">
      <c r="E919" s="11"/>
    </row>
    <row r="920">
      <c r="E920" s="11"/>
    </row>
    <row r="921">
      <c r="E921" s="11"/>
    </row>
    <row r="922">
      <c r="E922" s="11"/>
    </row>
    <row r="923">
      <c r="E923" s="11"/>
    </row>
    <row r="924">
      <c r="E924" s="11"/>
    </row>
    <row r="925">
      <c r="E925" s="11"/>
    </row>
    <row r="926">
      <c r="E926" s="11"/>
    </row>
    <row r="927">
      <c r="E927" s="11"/>
    </row>
    <row r="928">
      <c r="E928" s="11"/>
    </row>
    <row r="929">
      <c r="E929" s="11"/>
    </row>
    <row r="930">
      <c r="E930" s="11"/>
    </row>
    <row r="931">
      <c r="E931" s="11"/>
    </row>
    <row r="932">
      <c r="E932" s="11"/>
    </row>
    <row r="933">
      <c r="E933" s="11"/>
    </row>
    <row r="934">
      <c r="E934" s="11"/>
    </row>
    <row r="935">
      <c r="E935" s="11"/>
    </row>
    <row r="936">
      <c r="E936" s="11"/>
    </row>
    <row r="937">
      <c r="E937" s="11"/>
    </row>
    <row r="938">
      <c r="E938" s="11"/>
    </row>
    <row r="939">
      <c r="E939" s="11"/>
    </row>
    <row r="940">
      <c r="E940" s="11"/>
    </row>
    <row r="941">
      <c r="E941" s="11"/>
    </row>
    <row r="942">
      <c r="E942" s="11"/>
    </row>
    <row r="943">
      <c r="E943" s="11"/>
    </row>
    <row r="944">
      <c r="E944" s="11"/>
    </row>
    <row r="945">
      <c r="E945" s="11"/>
    </row>
    <row r="946">
      <c r="E946" s="11"/>
    </row>
    <row r="947">
      <c r="E947" s="11"/>
    </row>
    <row r="948">
      <c r="E948" s="11"/>
    </row>
    <row r="949">
      <c r="E949" s="11"/>
    </row>
    <row r="950">
      <c r="E950" s="11"/>
    </row>
    <row r="951">
      <c r="E951" s="11"/>
    </row>
    <row r="952">
      <c r="E952" s="11"/>
    </row>
    <row r="953">
      <c r="E953" s="11"/>
    </row>
    <row r="954">
      <c r="E954" s="11"/>
    </row>
    <row r="955">
      <c r="E955" s="11"/>
    </row>
    <row r="956">
      <c r="E956" s="11"/>
    </row>
    <row r="957">
      <c r="E957" s="11"/>
    </row>
    <row r="958">
      <c r="E958" s="11"/>
    </row>
    <row r="959">
      <c r="E959" s="11"/>
    </row>
    <row r="960">
      <c r="E960" s="11"/>
    </row>
    <row r="961">
      <c r="E961" s="11"/>
    </row>
    <row r="962">
      <c r="E962" s="11"/>
    </row>
    <row r="963">
      <c r="E963" s="11"/>
    </row>
    <row r="964">
      <c r="E964" s="11"/>
    </row>
    <row r="965">
      <c r="E965" s="11"/>
    </row>
    <row r="966">
      <c r="E966" s="11"/>
    </row>
    <row r="967">
      <c r="E967" s="11"/>
    </row>
    <row r="968">
      <c r="E968" s="11"/>
    </row>
    <row r="969">
      <c r="E969" s="11"/>
    </row>
    <row r="970">
      <c r="E970" s="11"/>
    </row>
    <row r="971">
      <c r="E971" s="11"/>
    </row>
    <row r="972">
      <c r="E972" s="11"/>
    </row>
    <row r="973">
      <c r="E973" s="11"/>
    </row>
    <row r="974">
      <c r="E974" s="11"/>
    </row>
    <row r="975">
      <c r="E975" s="11"/>
    </row>
    <row r="976">
      <c r="E976" s="11"/>
    </row>
    <row r="977">
      <c r="E977" s="11"/>
    </row>
    <row r="978">
      <c r="E978" s="11"/>
    </row>
    <row r="979">
      <c r="E979" s="11"/>
    </row>
    <row r="980">
      <c r="E980" s="11"/>
    </row>
    <row r="981">
      <c r="E981" s="11"/>
    </row>
    <row r="982">
      <c r="E982" s="11"/>
    </row>
    <row r="983">
      <c r="E983" s="11"/>
    </row>
    <row r="984">
      <c r="E984" s="11"/>
    </row>
    <row r="985">
      <c r="E985" s="11"/>
    </row>
    <row r="986">
      <c r="E986" s="11"/>
    </row>
    <row r="987">
      <c r="E987" s="11"/>
    </row>
    <row r="988">
      <c r="E988" s="11"/>
    </row>
    <row r="989">
      <c r="E989" s="11"/>
    </row>
    <row r="990">
      <c r="E990" s="11"/>
    </row>
    <row r="991">
      <c r="E991" s="11"/>
    </row>
    <row r="992">
      <c r="E992" s="11"/>
    </row>
    <row r="993">
      <c r="E993" s="11"/>
    </row>
    <row r="994">
      <c r="E994" s="11"/>
    </row>
    <row r="995">
      <c r="E995" s="11"/>
    </row>
    <row r="996">
      <c r="E996" s="11"/>
    </row>
    <row r="997">
      <c r="E997" s="11"/>
    </row>
    <row r="998">
      <c r="E998" s="11"/>
    </row>
    <row r="999">
      <c r="E999" s="11"/>
    </row>
    <row r="1000">
      <c r="E1000" s="11"/>
    </row>
    <row r="1001">
      <c r="E1001" s="11"/>
    </row>
    <row r="1002">
      <c r="E1002" s="11"/>
    </row>
    <row r="1003">
      <c r="E1003" s="11"/>
    </row>
    <row r="1004">
      <c r="E1004" s="11"/>
    </row>
    <row r="1005">
      <c r="E1005" s="11"/>
    </row>
    <row r="1006">
      <c r="E1006" s="11"/>
    </row>
    <row r="1007">
      <c r="E1007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9.75"/>
    <col customWidth="1" hidden="1" min="8" max="8" width="15.63"/>
    <col customWidth="1" min="9" max="9" width="15.63"/>
    <col customWidth="1" min="10" max="10" width="17.88"/>
    <col customWidth="1" min="11" max="11" width="18.13"/>
  </cols>
  <sheetData>
    <row r="1">
      <c r="A1" s="12" t="s">
        <v>34</v>
      </c>
      <c r="B1" s="13"/>
      <c r="C1" s="13"/>
      <c r="D1" s="13"/>
      <c r="E1" s="13"/>
      <c r="F1" s="14"/>
      <c r="G1" s="15"/>
      <c r="H1" s="16"/>
      <c r="I1" s="16"/>
      <c r="J1" s="16"/>
      <c r="K1" s="1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2"/>
      <c r="H2" s="1" t="s">
        <v>5</v>
      </c>
      <c r="I2" s="1" t="s">
        <v>6</v>
      </c>
      <c r="J2" s="1" t="s">
        <v>7</v>
      </c>
      <c r="K2" s="1" t="s">
        <v>8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3" t="s">
        <v>38</v>
      </c>
      <c r="B3" s="3" t="s">
        <v>39</v>
      </c>
      <c r="C3" s="3">
        <v>2.0</v>
      </c>
      <c r="D3" s="3"/>
      <c r="E3" s="17">
        <v>3.0</v>
      </c>
      <c r="F3" s="18">
        <v>100.0</v>
      </c>
      <c r="G3" s="18"/>
      <c r="H3" s="17"/>
      <c r="I3" s="17">
        <v>1.0</v>
      </c>
      <c r="J3" s="5" t="str">
        <f t="shared" ref="J3:J5" si="1">CONCATENATE(I3,"/",C3)</f>
        <v>1/2</v>
      </c>
      <c r="K3" s="3">
        <f t="shared" ref="K3:K4" si="2">C3-I3</f>
        <v>1</v>
      </c>
    </row>
    <row r="4">
      <c r="A4" s="3" t="s">
        <v>40</v>
      </c>
      <c r="B4" s="3" t="s">
        <v>41</v>
      </c>
      <c r="C4" s="19">
        <v>3.0</v>
      </c>
      <c r="D4" s="3"/>
      <c r="E4" s="17">
        <v>8.0</v>
      </c>
      <c r="F4" s="18">
        <v>78.0</v>
      </c>
      <c r="G4" s="18"/>
      <c r="H4" s="17"/>
      <c r="I4" s="17">
        <v>2.0</v>
      </c>
      <c r="J4" s="5" t="str">
        <f t="shared" si="1"/>
        <v>2/3</v>
      </c>
      <c r="K4" s="3">
        <f t="shared" si="2"/>
        <v>1</v>
      </c>
    </row>
    <row r="5">
      <c r="A5" s="20" t="s">
        <v>42</v>
      </c>
      <c r="B5" s="21"/>
      <c r="C5" s="21">
        <f>SUM(C3:C4)</f>
        <v>5</v>
      </c>
      <c r="D5" s="21">
        <f>SUM(D4)</f>
        <v>0</v>
      </c>
      <c r="E5" s="21">
        <f t="shared" ref="E5:G5" si="3">SUM(E3:E4)</f>
        <v>11</v>
      </c>
      <c r="F5" s="22">
        <f t="shared" si="3"/>
        <v>178</v>
      </c>
      <c r="G5" s="22">
        <f t="shared" si="3"/>
        <v>0</v>
      </c>
      <c r="H5" s="21">
        <f>SUM(H4)</f>
        <v>0</v>
      </c>
      <c r="I5" s="21">
        <f>SUM(I3:I4)</f>
        <v>3</v>
      </c>
      <c r="J5" s="23" t="str">
        <f t="shared" si="1"/>
        <v>3/5</v>
      </c>
      <c r="K5" s="21">
        <f>SUM(K4)</f>
        <v>1</v>
      </c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>
      <c r="F6" s="11"/>
      <c r="G6" s="11"/>
    </row>
    <row r="7">
      <c r="F7" s="11"/>
      <c r="G7" s="11"/>
    </row>
    <row r="8">
      <c r="F8" s="11"/>
      <c r="G8" s="11"/>
    </row>
    <row r="9">
      <c r="F9" s="11"/>
      <c r="G9" s="11"/>
    </row>
    <row r="10">
      <c r="F10" s="11"/>
      <c r="G10" s="11"/>
    </row>
    <row r="11">
      <c r="F11" s="11"/>
      <c r="G11" s="11"/>
    </row>
    <row r="12">
      <c r="F12" s="11"/>
      <c r="G12" s="11"/>
    </row>
    <row r="13">
      <c r="F13" s="11"/>
      <c r="G13" s="11"/>
    </row>
    <row r="14">
      <c r="F14" s="11"/>
      <c r="G14" s="11"/>
    </row>
    <row r="15">
      <c r="F15" s="11"/>
      <c r="G15" s="11"/>
    </row>
    <row r="16">
      <c r="F16" s="11"/>
      <c r="G16" s="11"/>
    </row>
    <row r="17">
      <c r="F17" s="11"/>
      <c r="G17" s="11"/>
    </row>
    <row r="18">
      <c r="F18" s="11"/>
      <c r="G18" s="11"/>
    </row>
    <row r="19">
      <c r="F19" s="11"/>
      <c r="G19" s="11"/>
    </row>
    <row r="20">
      <c r="F20" s="11"/>
      <c r="G20" s="11"/>
    </row>
    <row r="21">
      <c r="F21" s="11"/>
      <c r="G21" s="11"/>
    </row>
    <row r="22">
      <c r="F22" s="11"/>
      <c r="G22" s="11"/>
    </row>
    <row r="23">
      <c r="F23" s="11"/>
      <c r="G23" s="11"/>
    </row>
    <row r="24">
      <c r="F24" s="11"/>
      <c r="G24" s="11"/>
    </row>
    <row r="25">
      <c r="F25" s="11"/>
      <c r="G25" s="11"/>
    </row>
    <row r="26">
      <c r="F26" s="11"/>
      <c r="G26" s="11"/>
    </row>
    <row r="27">
      <c r="F27" s="11"/>
      <c r="G27" s="11"/>
    </row>
    <row r="28">
      <c r="F28" s="11"/>
      <c r="G28" s="11"/>
    </row>
    <row r="29">
      <c r="F29" s="11"/>
      <c r="G29" s="11"/>
    </row>
    <row r="30">
      <c r="F30" s="11"/>
      <c r="G30" s="11"/>
    </row>
    <row r="31">
      <c r="F31" s="11"/>
      <c r="G31" s="11"/>
    </row>
    <row r="32">
      <c r="F32" s="11"/>
      <c r="G32" s="11"/>
    </row>
    <row r="33">
      <c r="F33" s="11"/>
      <c r="G33" s="11"/>
    </row>
    <row r="34">
      <c r="F34" s="11"/>
      <c r="G34" s="11"/>
    </row>
    <row r="35">
      <c r="F35" s="11"/>
      <c r="G35" s="11"/>
    </row>
    <row r="36">
      <c r="F36" s="11"/>
      <c r="G36" s="11"/>
    </row>
    <row r="37">
      <c r="F37" s="11"/>
      <c r="G37" s="11"/>
    </row>
    <row r="38">
      <c r="F38" s="11"/>
      <c r="G38" s="11"/>
    </row>
    <row r="39">
      <c r="F39" s="11"/>
      <c r="G39" s="11"/>
    </row>
    <row r="40">
      <c r="F40" s="11"/>
      <c r="G40" s="11"/>
    </row>
    <row r="41">
      <c r="F41" s="11"/>
      <c r="G41" s="11"/>
    </row>
    <row r="42">
      <c r="F42" s="11"/>
      <c r="G42" s="11"/>
    </row>
    <row r="43">
      <c r="F43" s="11"/>
      <c r="G43" s="11"/>
    </row>
    <row r="44">
      <c r="F44" s="11"/>
      <c r="G44" s="11"/>
    </row>
    <row r="45">
      <c r="F45" s="11"/>
      <c r="G45" s="11"/>
    </row>
    <row r="46">
      <c r="F46" s="11"/>
      <c r="G46" s="11"/>
    </row>
    <row r="47">
      <c r="F47" s="11"/>
      <c r="G47" s="11"/>
    </row>
    <row r="48">
      <c r="F48" s="11"/>
      <c r="G48" s="11"/>
    </row>
    <row r="49">
      <c r="F49" s="11"/>
      <c r="G49" s="11"/>
    </row>
    <row r="50">
      <c r="F50" s="11"/>
      <c r="G50" s="11"/>
    </row>
    <row r="51">
      <c r="F51" s="11"/>
      <c r="G51" s="11"/>
    </row>
    <row r="52">
      <c r="F52" s="11"/>
      <c r="G52" s="11"/>
    </row>
    <row r="53">
      <c r="F53" s="11"/>
      <c r="G53" s="11"/>
    </row>
    <row r="54">
      <c r="F54" s="11"/>
      <c r="G54" s="11"/>
    </row>
    <row r="55">
      <c r="F55" s="11"/>
      <c r="G55" s="11"/>
    </row>
    <row r="56">
      <c r="F56" s="11"/>
      <c r="G56" s="11"/>
    </row>
    <row r="57">
      <c r="F57" s="11"/>
      <c r="G57" s="11"/>
    </row>
    <row r="58">
      <c r="F58" s="11"/>
      <c r="G58" s="11"/>
    </row>
    <row r="59">
      <c r="F59" s="11"/>
      <c r="G59" s="11"/>
    </row>
    <row r="60">
      <c r="F60" s="11"/>
      <c r="G60" s="11"/>
    </row>
    <row r="61">
      <c r="F61" s="11"/>
      <c r="G61" s="11"/>
    </row>
    <row r="62">
      <c r="F62" s="11"/>
      <c r="G62" s="11"/>
    </row>
    <row r="63">
      <c r="F63" s="11"/>
      <c r="G63" s="11"/>
    </row>
    <row r="64">
      <c r="F64" s="11"/>
      <c r="G64" s="11"/>
    </row>
    <row r="65">
      <c r="F65" s="11"/>
      <c r="G65" s="11"/>
    </row>
    <row r="66">
      <c r="F66" s="11"/>
      <c r="G66" s="11"/>
    </row>
    <row r="67">
      <c r="F67" s="11"/>
      <c r="G67" s="11"/>
    </row>
    <row r="68">
      <c r="F68" s="11"/>
      <c r="G68" s="11"/>
    </row>
    <row r="69">
      <c r="F69" s="11"/>
      <c r="G69" s="11"/>
    </row>
    <row r="70">
      <c r="F70" s="11"/>
      <c r="G70" s="11"/>
    </row>
    <row r="71">
      <c r="F71" s="11"/>
      <c r="G71" s="11"/>
    </row>
    <row r="72">
      <c r="F72" s="11"/>
      <c r="G72" s="11"/>
    </row>
    <row r="73">
      <c r="F73" s="11"/>
      <c r="G73" s="11"/>
    </row>
    <row r="74">
      <c r="F74" s="11"/>
      <c r="G74" s="11"/>
    </row>
    <row r="75">
      <c r="F75" s="11"/>
      <c r="G75" s="11"/>
    </row>
    <row r="76">
      <c r="F76" s="11"/>
      <c r="G76" s="11"/>
    </row>
    <row r="77">
      <c r="F77" s="11"/>
      <c r="G77" s="11"/>
    </row>
    <row r="78">
      <c r="F78" s="11"/>
      <c r="G78" s="11"/>
    </row>
    <row r="79">
      <c r="F79" s="11"/>
      <c r="G79" s="11"/>
    </row>
    <row r="80">
      <c r="F80" s="11"/>
      <c r="G80" s="11"/>
    </row>
    <row r="81">
      <c r="F81" s="11"/>
      <c r="G81" s="11"/>
    </row>
    <row r="82">
      <c r="F82" s="11"/>
      <c r="G82" s="11"/>
    </row>
    <row r="83">
      <c r="F83" s="11"/>
      <c r="G83" s="11"/>
    </row>
    <row r="84">
      <c r="F84" s="11"/>
      <c r="G84" s="11"/>
    </row>
    <row r="85">
      <c r="F85" s="11"/>
      <c r="G85" s="11"/>
    </row>
    <row r="86">
      <c r="F86" s="11"/>
      <c r="G86" s="11"/>
    </row>
    <row r="87">
      <c r="F87" s="11"/>
      <c r="G87" s="11"/>
    </row>
    <row r="88">
      <c r="F88" s="11"/>
      <c r="G88" s="11"/>
    </row>
    <row r="89">
      <c r="F89" s="11"/>
      <c r="G89" s="11"/>
    </row>
    <row r="90">
      <c r="F90" s="11"/>
      <c r="G90" s="11"/>
    </row>
    <row r="91">
      <c r="F91" s="11"/>
      <c r="G91" s="11"/>
    </row>
    <row r="92">
      <c r="F92" s="11"/>
      <c r="G92" s="11"/>
    </row>
    <row r="93">
      <c r="F93" s="11"/>
      <c r="G93" s="11"/>
    </row>
    <row r="94">
      <c r="F94" s="11"/>
      <c r="G94" s="11"/>
    </row>
    <row r="95">
      <c r="F95" s="11"/>
      <c r="G95" s="11"/>
    </row>
    <row r="96">
      <c r="F96" s="11"/>
      <c r="G96" s="11"/>
    </row>
    <row r="97">
      <c r="F97" s="11"/>
      <c r="G97" s="11"/>
    </row>
    <row r="98">
      <c r="F98" s="11"/>
      <c r="G98" s="11"/>
    </row>
    <row r="99">
      <c r="F99" s="11"/>
      <c r="G99" s="11"/>
    </row>
    <row r="100">
      <c r="F100" s="11"/>
      <c r="G100" s="11"/>
    </row>
    <row r="101">
      <c r="F101" s="11"/>
      <c r="G101" s="11"/>
    </row>
    <row r="102">
      <c r="F102" s="11"/>
      <c r="G102" s="11"/>
    </row>
    <row r="103">
      <c r="F103" s="11"/>
      <c r="G103" s="11"/>
    </row>
    <row r="104">
      <c r="F104" s="11"/>
      <c r="G104" s="11"/>
    </row>
    <row r="105">
      <c r="F105" s="11"/>
      <c r="G105" s="11"/>
    </row>
    <row r="106">
      <c r="F106" s="11"/>
      <c r="G106" s="11"/>
    </row>
    <row r="107">
      <c r="F107" s="11"/>
      <c r="G107" s="11"/>
    </row>
    <row r="108">
      <c r="F108" s="11"/>
      <c r="G108" s="11"/>
    </row>
    <row r="109">
      <c r="F109" s="11"/>
      <c r="G109" s="11"/>
    </row>
    <row r="110">
      <c r="F110" s="11"/>
      <c r="G110" s="11"/>
    </row>
    <row r="111">
      <c r="F111" s="11"/>
      <c r="G111" s="11"/>
    </row>
    <row r="112">
      <c r="F112" s="11"/>
      <c r="G112" s="11"/>
    </row>
    <row r="113">
      <c r="F113" s="11"/>
      <c r="G113" s="11"/>
    </row>
    <row r="114">
      <c r="F114" s="11"/>
      <c r="G114" s="11"/>
    </row>
    <row r="115">
      <c r="F115" s="11"/>
      <c r="G115" s="11"/>
    </row>
    <row r="116">
      <c r="F116" s="11"/>
      <c r="G116" s="11"/>
    </row>
    <row r="117">
      <c r="F117" s="11"/>
      <c r="G117" s="11"/>
    </row>
    <row r="118">
      <c r="F118" s="11"/>
      <c r="G118" s="11"/>
    </row>
    <row r="119">
      <c r="F119" s="11"/>
      <c r="G119" s="11"/>
    </row>
    <row r="120">
      <c r="F120" s="11"/>
      <c r="G120" s="11"/>
    </row>
    <row r="121">
      <c r="F121" s="11"/>
      <c r="G121" s="11"/>
    </row>
    <row r="122">
      <c r="F122" s="11"/>
      <c r="G122" s="11"/>
    </row>
    <row r="123">
      <c r="F123" s="11"/>
      <c r="G123" s="11"/>
    </row>
    <row r="124">
      <c r="F124" s="11"/>
      <c r="G124" s="11"/>
    </row>
    <row r="125">
      <c r="F125" s="11"/>
      <c r="G125" s="11"/>
    </row>
    <row r="126">
      <c r="F126" s="11"/>
      <c r="G126" s="11"/>
    </row>
    <row r="127">
      <c r="F127" s="11"/>
      <c r="G127" s="11"/>
    </row>
    <row r="128">
      <c r="F128" s="11"/>
      <c r="G128" s="11"/>
    </row>
    <row r="129">
      <c r="F129" s="11"/>
      <c r="G129" s="11"/>
    </row>
    <row r="130">
      <c r="F130" s="11"/>
      <c r="G130" s="11"/>
    </row>
    <row r="131">
      <c r="F131" s="11"/>
      <c r="G131" s="11"/>
    </row>
    <row r="132">
      <c r="F132" s="11"/>
      <c r="G132" s="11"/>
    </row>
    <row r="133">
      <c r="F133" s="11"/>
      <c r="G133" s="11"/>
    </row>
    <row r="134">
      <c r="F134" s="11"/>
      <c r="G134" s="11"/>
    </row>
    <row r="135">
      <c r="F135" s="11"/>
      <c r="G135" s="11"/>
    </row>
    <row r="136">
      <c r="F136" s="11"/>
      <c r="G136" s="11"/>
    </row>
    <row r="137">
      <c r="F137" s="11"/>
      <c r="G137" s="11"/>
    </row>
    <row r="138">
      <c r="F138" s="11"/>
      <c r="G138" s="11"/>
    </row>
    <row r="139">
      <c r="F139" s="11"/>
      <c r="G139" s="11"/>
    </row>
    <row r="140">
      <c r="F140" s="11"/>
      <c r="G140" s="11"/>
    </row>
    <row r="141">
      <c r="F141" s="11"/>
      <c r="G141" s="11"/>
    </row>
    <row r="142">
      <c r="F142" s="11"/>
      <c r="G142" s="11"/>
    </row>
    <row r="143">
      <c r="F143" s="11"/>
      <c r="G143" s="11"/>
    </row>
    <row r="144">
      <c r="F144" s="11"/>
      <c r="G144" s="11"/>
    </row>
    <row r="145">
      <c r="F145" s="11"/>
      <c r="G145" s="11"/>
    </row>
    <row r="146">
      <c r="F146" s="11"/>
      <c r="G146" s="11"/>
    </row>
    <row r="147">
      <c r="F147" s="11"/>
      <c r="G147" s="11"/>
    </row>
    <row r="148">
      <c r="F148" s="11"/>
      <c r="G148" s="11"/>
    </row>
    <row r="149">
      <c r="F149" s="11"/>
      <c r="G149" s="11"/>
    </row>
    <row r="150">
      <c r="F150" s="11"/>
      <c r="G150" s="11"/>
    </row>
    <row r="151">
      <c r="F151" s="11"/>
      <c r="G151" s="11"/>
    </row>
    <row r="152">
      <c r="F152" s="11"/>
      <c r="G152" s="11"/>
    </row>
    <row r="153">
      <c r="F153" s="11"/>
      <c r="G153" s="11"/>
    </row>
    <row r="154">
      <c r="F154" s="11"/>
      <c r="G154" s="11"/>
    </row>
    <row r="155">
      <c r="F155" s="11"/>
      <c r="G155" s="11"/>
    </row>
    <row r="156">
      <c r="F156" s="11"/>
      <c r="G156" s="11"/>
    </row>
    <row r="157">
      <c r="F157" s="11"/>
      <c r="G157" s="11"/>
    </row>
    <row r="158">
      <c r="F158" s="11"/>
      <c r="G158" s="11"/>
    </row>
    <row r="159">
      <c r="F159" s="11"/>
      <c r="G159" s="11"/>
    </row>
    <row r="160">
      <c r="F160" s="11"/>
      <c r="G160" s="11"/>
    </row>
    <row r="161">
      <c r="F161" s="11"/>
      <c r="G161" s="11"/>
    </row>
    <row r="162">
      <c r="F162" s="11"/>
      <c r="G162" s="11"/>
    </row>
    <row r="163">
      <c r="F163" s="11"/>
      <c r="G163" s="11"/>
    </row>
    <row r="164">
      <c r="F164" s="11"/>
      <c r="G164" s="11"/>
    </row>
    <row r="165">
      <c r="F165" s="11"/>
      <c r="G165" s="11"/>
    </row>
    <row r="166">
      <c r="F166" s="11"/>
      <c r="G166" s="11"/>
    </row>
    <row r="167">
      <c r="F167" s="11"/>
      <c r="G167" s="11"/>
    </row>
    <row r="168">
      <c r="F168" s="11"/>
      <c r="G168" s="11"/>
    </row>
    <row r="169">
      <c r="F169" s="11"/>
      <c r="G169" s="11"/>
    </row>
    <row r="170">
      <c r="F170" s="11"/>
      <c r="G170" s="11"/>
    </row>
    <row r="171">
      <c r="F171" s="11"/>
      <c r="G171" s="11"/>
    </row>
    <row r="172">
      <c r="F172" s="11"/>
      <c r="G172" s="11"/>
    </row>
    <row r="173">
      <c r="F173" s="11"/>
      <c r="G173" s="11"/>
    </row>
    <row r="174">
      <c r="F174" s="11"/>
      <c r="G174" s="11"/>
    </row>
    <row r="175">
      <c r="F175" s="11"/>
      <c r="G175" s="11"/>
    </row>
    <row r="176">
      <c r="F176" s="11"/>
      <c r="G176" s="11"/>
    </row>
    <row r="177">
      <c r="F177" s="11"/>
      <c r="G177" s="11"/>
    </row>
    <row r="178">
      <c r="F178" s="11"/>
      <c r="G178" s="11"/>
    </row>
    <row r="179">
      <c r="F179" s="11"/>
      <c r="G179" s="11"/>
    </row>
    <row r="180">
      <c r="F180" s="11"/>
      <c r="G180" s="11"/>
    </row>
    <row r="181">
      <c r="F181" s="11"/>
      <c r="G181" s="11"/>
    </row>
    <row r="182">
      <c r="F182" s="11"/>
      <c r="G182" s="11"/>
    </row>
    <row r="183">
      <c r="F183" s="11"/>
      <c r="G183" s="11"/>
    </row>
    <row r="184">
      <c r="F184" s="11"/>
      <c r="G184" s="11"/>
    </row>
    <row r="185">
      <c r="F185" s="11"/>
      <c r="G185" s="11"/>
    </row>
    <row r="186">
      <c r="F186" s="11"/>
      <c r="G186" s="11"/>
    </row>
    <row r="187">
      <c r="F187" s="11"/>
      <c r="G187" s="11"/>
    </row>
    <row r="188">
      <c r="F188" s="11"/>
      <c r="G188" s="11"/>
    </row>
    <row r="189">
      <c r="F189" s="11"/>
      <c r="G189" s="11"/>
    </row>
    <row r="190">
      <c r="F190" s="11"/>
      <c r="G190" s="11"/>
    </row>
    <row r="191">
      <c r="F191" s="11"/>
      <c r="G191" s="11"/>
    </row>
    <row r="192">
      <c r="F192" s="11"/>
      <c r="G192" s="11"/>
    </row>
    <row r="193">
      <c r="F193" s="11"/>
      <c r="G193" s="11"/>
    </row>
    <row r="194">
      <c r="F194" s="11"/>
      <c r="G194" s="11"/>
    </row>
    <row r="195">
      <c r="F195" s="11"/>
      <c r="G195" s="11"/>
    </row>
    <row r="196">
      <c r="F196" s="11"/>
      <c r="G196" s="11"/>
    </row>
    <row r="197">
      <c r="F197" s="11"/>
      <c r="G197" s="11"/>
    </row>
    <row r="198">
      <c r="F198" s="11"/>
      <c r="G198" s="11"/>
    </row>
    <row r="199">
      <c r="F199" s="11"/>
      <c r="G199" s="11"/>
    </row>
    <row r="200">
      <c r="F200" s="11"/>
      <c r="G200" s="11"/>
    </row>
    <row r="201">
      <c r="F201" s="11"/>
      <c r="G201" s="11"/>
    </row>
    <row r="202">
      <c r="F202" s="11"/>
      <c r="G202" s="11"/>
    </row>
    <row r="203">
      <c r="F203" s="11"/>
      <c r="G203" s="11"/>
    </row>
    <row r="204">
      <c r="F204" s="11"/>
      <c r="G204" s="11"/>
    </row>
    <row r="205">
      <c r="F205" s="11"/>
      <c r="G205" s="11"/>
    </row>
    <row r="206">
      <c r="F206" s="11"/>
      <c r="G206" s="11"/>
    </row>
    <row r="207">
      <c r="F207" s="11"/>
      <c r="G207" s="11"/>
    </row>
    <row r="208">
      <c r="F208" s="11"/>
      <c r="G208" s="11"/>
    </row>
    <row r="209">
      <c r="F209" s="11"/>
      <c r="G209" s="11"/>
    </row>
    <row r="210">
      <c r="F210" s="11"/>
      <c r="G210" s="11"/>
    </row>
    <row r="211">
      <c r="F211" s="11"/>
      <c r="G211" s="11"/>
    </row>
    <row r="212">
      <c r="F212" s="11"/>
      <c r="G212" s="11"/>
    </row>
    <row r="213">
      <c r="F213" s="11"/>
      <c r="G213" s="11"/>
    </row>
    <row r="214">
      <c r="F214" s="11"/>
      <c r="G214" s="11"/>
    </row>
    <row r="215">
      <c r="F215" s="11"/>
      <c r="G215" s="11"/>
    </row>
    <row r="216">
      <c r="F216" s="11"/>
      <c r="G216" s="11"/>
    </row>
    <row r="217">
      <c r="F217" s="11"/>
      <c r="G217" s="11"/>
    </row>
    <row r="218">
      <c r="F218" s="11"/>
      <c r="G218" s="11"/>
    </row>
    <row r="219">
      <c r="F219" s="11"/>
      <c r="G219" s="11"/>
    </row>
    <row r="220">
      <c r="F220" s="11"/>
      <c r="G220" s="11"/>
    </row>
    <row r="221">
      <c r="F221" s="11"/>
      <c r="G221" s="11"/>
    </row>
    <row r="222">
      <c r="F222" s="11"/>
      <c r="G222" s="11"/>
    </row>
    <row r="223">
      <c r="F223" s="11"/>
      <c r="G223" s="11"/>
    </row>
    <row r="224">
      <c r="F224" s="11"/>
      <c r="G224" s="11"/>
    </row>
    <row r="225">
      <c r="F225" s="11"/>
      <c r="G225" s="11"/>
    </row>
    <row r="226">
      <c r="F226" s="11"/>
      <c r="G226" s="11"/>
    </row>
    <row r="227">
      <c r="F227" s="11"/>
      <c r="G227" s="11"/>
    </row>
    <row r="228">
      <c r="F228" s="11"/>
      <c r="G228" s="11"/>
    </row>
    <row r="229">
      <c r="F229" s="11"/>
      <c r="G229" s="11"/>
    </row>
    <row r="230">
      <c r="F230" s="11"/>
      <c r="G230" s="11"/>
    </row>
    <row r="231">
      <c r="F231" s="11"/>
      <c r="G231" s="11"/>
    </row>
    <row r="232">
      <c r="F232" s="11"/>
      <c r="G232" s="11"/>
    </row>
    <row r="233">
      <c r="F233" s="11"/>
      <c r="G233" s="11"/>
    </row>
    <row r="234">
      <c r="F234" s="11"/>
      <c r="G234" s="11"/>
    </row>
    <row r="235">
      <c r="F235" s="11"/>
      <c r="G235" s="11"/>
    </row>
    <row r="236">
      <c r="F236" s="11"/>
      <c r="G236" s="11"/>
    </row>
    <row r="237">
      <c r="F237" s="11"/>
      <c r="G237" s="11"/>
    </row>
    <row r="238">
      <c r="F238" s="11"/>
      <c r="G238" s="11"/>
    </row>
    <row r="239">
      <c r="F239" s="11"/>
      <c r="G239" s="11"/>
    </row>
    <row r="240">
      <c r="F240" s="11"/>
      <c r="G240" s="11"/>
    </row>
    <row r="241">
      <c r="F241" s="11"/>
      <c r="G241" s="11"/>
    </row>
    <row r="242">
      <c r="F242" s="11"/>
      <c r="G242" s="11"/>
    </row>
    <row r="243">
      <c r="F243" s="11"/>
      <c r="G243" s="11"/>
    </row>
    <row r="244">
      <c r="F244" s="11"/>
      <c r="G244" s="11"/>
    </row>
    <row r="245">
      <c r="F245" s="11"/>
      <c r="G245" s="11"/>
    </row>
    <row r="246">
      <c r="F246" s="11"/>
      <c r="G246" s="11"/>
    </row>
    <row r="247">
      <c r="F247" s="11"/>
      <c r="G247" s="11"/>
    </row>
    <row r="248">
      <c r="F248" s="11"/>
      <c r="G248" s="11"/>
    </row>
    <row r="249">
      <c r="F249" s="11"/>
      <c r="G249" s="11"/>
    </row>
    <row r="250">
      <c r="F250" s="11"/>
      <c r="G250" s="11"/>
    </row>
    <row r="251">
      <c r="F251" s="11"/>
      <c r="G251" s="11"/>
    </row>
    <row r="252">
      <c r="F252" s="11"/>
      <c r="G252" s="11"/>
    </row>
    <row r="253">
      <c r="F253" s="11"/>
      <c r="G253" s="11"/>
    </row>
    <row r="254">
      <c r="F254" s="11"/>
      <c r="G254" s="11"/>
    </row>
    <row r="255">
      <c r="F255" s="11"/>
      <c r="G255" s="11"/>
    </row>
    <row r="256">
      <c r="F256" s="11"/>
      <c r="G256" s="11"/>
    </row>
    <row r="257">
      <c r="F257" s="11"/>
      <c r="G257" s="11"/>
    </row>
    <row r="258">
      <c r="F258" s="11"/>
      <c r="G258" s="11"/>
    </row>
    <row r="259">
      <c r="F259" s="11"/>
      <c r="G259" s="11"/>
    </row>
    <row r="260">
      <c r="F260" s="11"/>
      <c r="G260" s="11"/>
    </row>
    <row r="261">
      <c r="F261" s="11"/>
      <c r="G261" s="11"/>
    </row>
    <row r="262">
      <c r="F262" s="11"/>
      <c r="G262" s="11"/>
    </row>
    <row r="263">
      <c r="F263" s="11"/>
      <c r="G263" s="11"/>
    </row>
    <row r="264">
      <c r="F264" s="11"/>
      <c r="G264" s="11"/>
    </row>
    <row r="265">
      <c r="F265" s="11"/>
      <c r="G265" s="11"/>
    </row>
    <row r="266">
      <c r="F266" s="11"/>
      <c r="G266" s="11"/>
    </row>
    <row r="267">
      <c r="F267" s="11"/>
      <c r="G267" s="11"/>
    </row>
    <row r="268">
      <c r="F268" s="11"/>
      <c r="G268" s="11"/>
    </row>
    <row r="269">
      <c r="F269" s="11"/>
      <c r="G269" s="11"/>
    </row>
    <row r="270">
      <c r="F270" s="11"/>
      <c r="G270" s="11"/>
    </row>
    <row r="271">
      <c r="F271" s="11"/>
      <c r="G271" s="11"/>
    </row>
    <row r="272">
      <c r="F272" s="11"/>
      <c r="G272" s="11"/>
    </row>
    <row r="273">
      <c r="F273" s="11"/>
      <c r="G273" s="11"/>
    </row>
    <row r="274">
      <c r="F274" s="11"/>
      <c r="G274" s="11"/>
    </row>
    <row r="275">
      <c r="F275" s="11"/>
      <c r="G275" s="11"/>
    </row>
    <row r="276">
      <c r="F276" s="11"/>
      <c r="G276" s="11"/>
    </row>
    <row r="277">
      <c r="F277" s="11"/>
      <c r="G277" s="11"/>
    </row>
    <row r="278">
      <c r="F278" s="11"/>
      <c r="G278" s="11"/>
    </row>
    <row r="279">
      <c r="F279" s="11"/>
      <c r="G279" s="11"/>
    </row>
    <row r="280">
      <c r="F280" s="11"/>
      <c r="G280" s="11"/>
    </row>
    <row r="281">
      <c r="F281" s="11"/>
      <c r="G281" s="11"/>
    </row>
    <row r="282">
      <c r="F282" s="11"/>
      <c r="G282" s="11"/>
    </row>
    <row r="283">
      <c r="F283" s="11"/>
      <c r="G283" s="11"/>
    </row>
    <row r="284">
      <c r="F284" s="11"/>
      <c r="G284" s="11"/>
    </row>
    <row r="285">
      <c r="F285" s="11"/>
      <c r="G285" s="11"/>
    </row>
    <row r="286">
      <c r="F286" s="11"/>
      <c r="G286" s="11"/>
    </row>
    <row r="287">
      <c r="F287" s="11"/>
      <c r="G287" s="11"/>
    </row>
    <row r="288">
      <c r="F288" s="11"/>
      <c r="G288" s="11"/>
    </row>
    <row r="289">
      <c r="F289" s="11"/>
      <c r="G289" s="11"/>
    </row>
    <row r="290">
      <c r="F290" s="11"/>
      <c r="G290" s="11"/>
    </row>
    <row r="291">
      <c r="F291" s="11"/>
      <c r="G291" s="11"/>
    </row>
    <row r="292">
      <c r="F292" s="11"/>
      <c r="G292" s="11"/>
    </row>
    <row r="293">
      <c r="F293" s="11"/>
      <c r="G293" s="11"/>
    </row>
    <row r="294">
      <c r="F294" s="11"/>
      <c r="G294" s="11"/>
    </row>
    <row r="295">
      <c r="F295" s="11"/>
      <c r="G295" s="11"/>
    </row>
    <row r="296">
      <c r="F296" s="11"/>
      <c r="G296" s="11"/>
    </row>
    <row r="297">
      <c r="F297" s="11"/>
      <c r="G297" s="11"/>
    </row>
    <row r="298">
      <c r="F298" s="11"/>
      <c r="G298" s="11"/>
    </row>
    <row r="299">
      <c r="F299" s="11"/>
      <c r="G299" s="11"/>
    </row>
    <row r="300">
      <c r="F300" s="11"/>
      <c r="G300" s="11"/>
    </row>
    <row r="301">
      <c r="F301" s="11"/>
      <c r="G301" s="11"/>
    </row>
    <row r="302">
      <c r="F302" s="11"/>
      <c r="G302" s="11"/>
    </row>
    <row r="303">
      <c r="F303" s="11"/>
      <c r="G303" s="11"/>
    </row>
    <row r="304">
      <c r="F304" s="11"/>
      <c r="G304" s="11"/>
    </row>
    <row r="305">
      <c r="F305" s="11"/>
      <c r="G305" s="11"/>
    </row>
    <row r="306">
      <c r="F306" s="11"/>
      <c r="G306" s="11"/>
    </row>
    <row r="307">
      <c r="F307" s="11"/>
      <c r="G307" s="11"/>
    </row>
    <row r="308">
      <c r="F308" s="11"/>
      <c r="G308" s="11"/>
    </row>
    <row r="309">
      <c r="F309" s="11"/>
      <c r="G309" s="11"/>
    </row>
    <row r="310">
      <c r="F310" s="11"/>
      <c r="G310" s="11"/>
    </row>
    <row r="311">
      <c r="F311" s="11"/>
      <c r="G311" s="11"/>
    </row>
    <row r="312">
      <c r="F312" s="11"/>
      <c r="G312" s="11"/>
    </row>
    <row r="313">
      <c r="F313" s="11"/>
      <c r="G313" s="11"/>
    </row>
    <row r="314">
      <c r="F314" s="11"/>
      <c r="G314" s="11"/>
    </row>
    <row r="315">
      <c r="F315" s="11"/>
      <c r="G315" s="11"/>
    </row>
    <row r="316">
      <c r="F316" s="11"/>
      <c r="G316" s="11"/>
    </row>
    <row r="317">
      <c r="F317" s="11"/>
      <c r="G317" s="11"/>
    </row>
    <row r="318">
      <c r="F318" s="11"/>
      <c r="G318" s="11"/>
    </row>
    <row r="319">
      <c r="F319" s="11"/>
      <c r="G319" s="11"/>
    </row>
    <row r="320">
      <c r="F320" s="11"/>
      <c r="G320" s="11"/>
    </row>
    <row r="321">
      <c r="F321" s="11"/>
      <c r="G321" s="11"/>
    </row>
    <row r="322">
      <c r="F322" s="11"/>
      <c r="G322" s="11"/>
    </row>
    <row r="323">
      <c r="F323" s="11"/>
      <c r="G323" s="11"/>
    </row>
    <row r="324">
      <c r="F324" s="11"/>
      <c r="G324" s="11"/>
    </row>
    <row r="325">
      <c r="F325" s="11"/>
      <c r="G325" s="11"/>
    </row>
    <row r="326">
      <c r="F326" s="11"/>
      <c r="G326" s="11"/>
    </row>
    <row r="327">
      <c r="F327" s="11"/>
      <c r="G327" s="11"/>
    </row>
    <row r="328">
      <c r="F328" s="11"/>
      <c r="G328" s="11"/>
    </row>
    <row r="329">
      <c r="F329" s="11"/>
      <c r="G329" s="11"/>
    </row>
    <row r="330">
      <c r="F330" s="11"/>
      <c r="G330" s="11"/>
    </row>
    <row r="331">
      <c r="F331" s="11"/>
      <c r="G331" s="11"/>
    </row>
    <row r="332">
      <c r="F332" s="11"/>
      <c r="G332" s="11"/>
    </row>
    <row r="333">
      <c r="F333" s="11"/>
      <c r="G333" s="11"/>
    </row>
    <row r="334">
      <c r="F334" s="11"/>
      <c r="G334" s="11"/>
    </row>
    <row r="335">
      <c r="F335" s="11"/>
      <c r="G335" s="11"/>
    </row>
    <row r="336">
      <c r="F336" s="11"/>
      <c r="G336" s="11"/>
    </row>
    <row r="337">
      <c r="F337" s="11"/>
      <c r="G337" s="11"/>
    </row>
    <row r="338">
      <c r="F338" s="11"/>
      <c r="G338" s="11"/>
    </row>
    <row r="339">
      <c r="F339" s="11"/>
      <c r="G339" s="11"/>
    </row>
    <row r="340">
      <c r="F340" s="11"/>
      <c r="G340" s="11"/>
    </row>
    <row r="341">
      <c r="F341" s="11"/>
      <c r="G341" s="11"/>
    </row>
    <row r="342">
      <c r="F342" s="11"/>
      <c r="G342" s="11"/>
    </row>
    <row r="343">
      <c r="F343" s="11"/>
      <c r="G343" s="11"/>
    </row>
    <row r="344">
      <c r="F344" s="11"/>
      <c r="G344" s="11"/>
    </row>
    <row r="345">
      <c r="F345" s="11"/>
      <c r="G345" s="11"/>
    </row>
    <row r="346">
      <c r="F346" s="11"/>
      <c r="G346" s="11"/>
    </row>
    <row r="347">
      <c r="F347" s="11"/>
      <c r="G347" s="11"/>
    </row>
    <row r="348">
      <c r="F348" s="11"/>
      <c r="G348" s="11"/>
    </row>
    <row r="349">
      <c r="F349" s="11"/>
      <c r="G349" s="11"/>
    </row>
    <row r="350">
      <c r="F350" s="11"/>
      <c r="G350" s="11"/>
    </row>
    <row r="351">
      <c r="F351" s="11"/>
      <c r="G351" s="11"/>
    </row>
    <row r="352">
      <c r="F352" s="11"/>
      <c r="G352" s="11"/>
    </row>
    <row r="353">
      <c r="F353" s="11"/>
      <c r="G353" s="11"/>
    </row>
    <row r="354">
      <c r="F354" s="11"/>
      <c r="G354" s="11"/>
    </row>
    <row r="355">
      <c r="F355" s="11"/>
      <c r="G355" s="11"/>
    </row>
    <row r="356">
      <c r="F356" s="11"/>
      <c r="G356" s="11"/>
    </row>
    <row r="357">
      <c r="F357" s="11"/>
      <c r="G357" s="11"/>
    </row>
    <row r="358">
      <c r="F358" s="11"/>
      <c r="G358" s="11"/>
    </row>
    <row r="359">
      <c r="F359" s="11"/>
      <c r="G359" s="11"/>
    </row>
    <row r="360">
      <c r="F360" s="11"/>
      <c r="G360" s="11"/>
    </row>
    <row r="361">
      <c r="F361" s="11"/>
      <c r="G361" s="11"/>
    </row>
    <row r="362">
      <c r="F362" s="11"/>
      <c r="G362" s="11"/>
    </row>
    <row r="363">
      <c r="F363" s="11"/>
      <c r="G363" s="11"/>
    </row>
    <row r="364">
      <c r="F364" s="11"/>
      <c r="G364" s="11"/>
    </row>
    <row r="365">
      <c r="F365" s="11"/>
      <c r="G365" s="11"/>
    </row>
    <row r="366">
      <c r="F366" s="11"/>
      <c r="G366" s="11"/>
    </row>
    <row r="367">
      <c r="F367" s="11"/>
      <c r="G367" s="11"/>
    </row>
    <row r="368">
      <c r="F368" s="11"/>
      <c r="G368" s="11"/>
    </row>
    <row r="369">
      <c r="F369" s="11"/>
      <c r="G369" s="11"/>
    </row>
    <row r="370">
      <c r="F370" s="11"/>
      <c r="G370" s="11"/>
    </row>
    <row r="371">
      <c r="F371" s="11"/>
      <c r="G371" s="11"/>
    </row>
    <row r="372">
      <c r="F372" s="11"/>
      <c r="G372" s="11"/>
    </row>
    <row r="373">
      <c r="F373" s="11"/>
      <c r="G373" s="11"/>
    </row>
    <row r="374">
      <c r="F374" s="11"/>
      <c r="G374" s="11"/>
    </row>
    <row r="375">
      <c r="F375" s="11"/>
      <c r="G375" s="11"/>
    </row>
    <row r="376">
      <c r="F376" s="11"/>
      <c r="G376" s="11"/>
    </row>
    <row r="377">
      <c r="F377" s="11"/>
      <c r="G377" s="11"/>
    </row>
    <row r="378">
      <c r="F378" s="11"/>
      <c r="G378" s="11"/>
    </row>
    <row r="379">
      <c r="F379" s="11"/>
      <c r="G379" s="11"/>
    </row>
    <row r="380">
      <c r="F380" s="11"/>
      <c r="G380" s="11"/>
    </row>
    <row r="381">
      <c r="F381" s="11"/>
      <c r="G381" s="11"/>
    </row>
    <row r="382">
      <c r="F382" s="11"/>
      <c r="G382" s="11"/>
    </row>
    <row r="383">
      <c r="F383" s="11"/>
      <c r="G383" s="11"/>
    </row>
    <row r="384">
      <c r="F384" s="11"/>
      <c r="G384" s="11"/>
    </row>
    <row r="385">
      <c r="F385" s="11"/>
      <c r="G385" s="11"/>
    </row>
    <row r="386">
      <c r="F386" s="11"/>
      <c r="G386" s="11"/>
    </row>
    <row r="387">
      <c r="F387" s="11"/>
      <c r="G387" s="11"/>
    </row>
    <row r="388">
      <c r="F388" s="11"/>
      <c r="G388" s="11"/>
    </row>
    <row r="389">
      <c r="F389" s="11"/>
      <c r="G389" s="11"/>
    </row>
    <row r="390">
      <c r="F390" s="11"/>
      <c r="G390" s="11"/>
    </row>
    <row r="391">
      <c r="F391" s="11"/>
      <c r="G391" s="11"/>
    </row>
    <row r="392">
      <c r="F392" s="11"/>
      <c r="G392" s="11"/>
    </row>
    <row r="393">
      <c r="F393" s="11"/>
      <c r="G393" s="11"/>
    </row>
    <row r="394">
      <c r="F394" s="11"/>
      <c r="G394" s="11"/>
    </row>
    <row r="395">
      <c r="F395" s="11"/>
      <c r="G395" s="11"/>
    </row>
    <row r="396">
      <c r="F396" s="11"/>
      <c r="G396" s="11"/>
    </row>
    <row r="397">
      <c r="F397" s="11"/>
      <c r="G397" s="11"/>
    </row>
    <row r="398">
      <c r="F398" s="11"/>
      <c r="G398" s="11"/>
    </row>
    <row r="399">
      <c r="F399" s="11"/>
      <c r="G399" s="11"/>
    </row>
    <row r="400">
      <c r="F400" s="11"/>
      <c r="G400" s="11"/>
    </row>
    <row r="401">
      <c r="F401" s="11"/>
      <c r="G401" s="11"/>
    </row>
    <row r="402">
      <c r="F402" s="11"/>
      <c r="G402" s="11"/>
    </row>
    <row r="403">
      <c r="F403" s="11"/>
      <c r="G403" s="11"/>
    </row>
    <row r="404">
      <c r="F404" s="11"/>
      <c r="G404" s="11"/>
    </row>
    <row r="405">
      <c r="F405" s="11"/>
      <c r="G405" s="11"/>
    </row>
    <row r="406">
      <c r="F406" s="11"/>
      <c r="G406" s="11"/>
    </row>
    <row r="407">
      <c r="F407" s="11"/>
      <c r="G407" s="11"/>
    </row>
    <row r="408">
      <c r="F408" s="11"/>
      <c r="G408" s="11"/>
    </row>
    <row r="409">
      <c r="F409" s="11"/>
      <c r="G409" s="11"/>
    </row>
    <row r="410">
      <c r="F410" s="11"/>
      <c r="G410" s="11"/>
    </row>
    <row r="411">
      <c r="F411" s="11"/>
      <c r="G411" s="11"/>
    </row>
    <row r="412">
      <c r="F412" s="11"/>
      <c r="G412" s="11"/>
    </row>
    <row r="413">
      <c r="F413" s="11"/>
      <c r="G413" s="11"/>
    </row>
    <row r="414">
      <c r="F414" s="11"/>
      <c r="G414" s="11"/>
    </row>
    <row r="415">
      <c r="F415" s="11"/>
      <c r="G415" s="11"/>
    </row>
    <row r="416">
      <c r="F416" s="11"/>
      <c r="G416" s="11"/>
    </row>
    <row r="417">
      <c r="F417" s="11"/>
      <c r="G417" s="11"/>
    </row>
    <row r="418">
      <c r="F418" s="11"/>
      <c r="G418" s="11"/>
    </row>
    <row r="419">
      <c r="F419" s="11"/>
      <c r="G419" s="11"/>
    </row>
    <row r="420">
      <c r="F420" s="11"/>
      <c r="G420" s="11"/>
    </row>
    <row r="421">
      <c r="F421" s="11"/>
      <c r="G421" s="11"/>
    </row>
    <row r="422">
      <c r="F422" s="11"/>
      <c r="G422" s="11"/>
    </row>
    <row r="423">
      <c r="F423" s="11"/>
      <c r="G423" s="11"/>
    </row>
    <row r="424">
      <c r="F424" s="11"/>
      <c r="G424" s="11"/>
    </row>
    <row r="425">
      <c r="F425" s="11"/>
      <c r="G425" s="11"/>
    </row>
    <row r="426">
      <c r="F426" s="11"/>
      <c r="G426" s="11"/>
    </row>
    <row r="427">
      <c r="F427" s="11"/>
      <c r="G427" s="11"/>
    </row>
    <row r="428">
      <c r="F428" s="11"/>
      <c r="G428" s="11"/>
    </row>
    <row r="429">
      <c r="F429" s="11"/>
      <c r="G429" s="11"/>
    </row>
    <row r="430">
      <c r="F430" s="11"/>
      <c r="G430" s="11"/>
    </row>
    <row r="431">
      <c r="F431" s="11"/>
      <c r="G431" s="11"/>
    </row>
    <row r="432">
      <c r="F432" s="11"/>
      <c r="G432" s="11"/>
    </row>
    <row r="433">
      <c r="F433" s="11"/>
      <c r="G433" s="11"/>
    </row>
    <row r="434">
      <c r="F434" s="11"/>
      <c r="G434" s="11"/>
    </row>
    <row r="435">
      <c r="F435" s="11"/>
      <c r="G435" s="11"/>
    </row>
    <row r="436">
      <c r="F436" s="11"/>
      <c r="G436" s="11"/>
    </row>
    <row r="437">
      <c r="F437" s="11"/>
      <c r="G437" s="11"/>
    </row>
    <row r="438">
      <c r="F438" s="11"/>
      <c r="G438" s="11"/>
    </row>
    <row r="439">
      <c r="F439" s="11"/>
      <c r="G439" s="11"/>
    </row>
    <row r="440">
      <c r="F440" s="11"/>
      <c r="G440" s="11"/>
    </row>
    <row r="441">
      <c r="F441" s="11"/>
      <c r="G441" s="11"/>
    </row>
    <row r="442">
      <c r="F442" s="11"/>
      <c r="G442" s="11"/>
    </row>
    <row r="443">
      <c r="F443" s="11"/>
      <c r="G443" s="11"/>
    </row>
    <row r="444">
      <c r="F444" s="11"/>
      <c r="G444" s="11"/>
    </row>
    <row r="445">
      <c r="F445" s="11"/>
      <c r="G445" s="11"/>
    </row>
    <row r="446">
      <c r="F446" s="11"/>
      <c r="G446" s="11"/>
    </row>
    <row r="447">
      <c r="F447" s="11"/>
      <c r="G447" s="11"/>
    </row>
    <row r="448">
      <c r="F448" s="11"/>
      <c r="G448" s="11"/>
    </row>
    <row r="449">
      <c r="F449" s="11"/>
      <c r="G449" s="11"/>
    </row>
    <row r="450">
      <c r="F450" s="11"/>
      <c r="G450" s="11"/>
    </row>
    <row r="451">
      <c r="F451" s="11"/>
      <c r="G451" s="11"/>
    </row>
    <row r="452">
      <c r="F452" s="11"/>
      <c r="G452" s="11"/>
    </row>
    <row r="453">
      <c r="F453" s="11"/>
      <c r="G453" s="11"/>
    </row>
    <row r="454">
      <c r="F454" s="11"/>
      <c r="G454" s="11"/>
    </row>
    <row r="455">
      <c r="F455" s="11"/>
      <c r="G455" s="11"/>
    </row>
    <row r="456">
      <c r="F456" s="11"/>
      <c r="G456" s="11"/>
    </row>
    <row r="457">
      <c r="F457" s="11"/>
      <c r="G457" s="11"/>
    </row>
    <row r="458">
      <c r="F458" s="11"/>
      <c r="G458" s="11"/>
    </row>
    <row r="459">
      <c r="F459" s="11"/>
      <c r="G459" s="11"/>
    </row>
    <row r="460">
      <c r="F460" s="11"/>
      <c r="G460" s="11"/>
    </row>
    <row r="461">
      <c r="F461" s="11"/>
      <c r="G461" s="11"/>
    </row>
    <row r="462">
      <c r="F462" s="11"/>
      <c r="G462" s="11"/>
    </row>
    <row r="463">
      <c r="F463" s="11"/>
      <c r="G463" s="11"/>
    </row>
    <row r="464">
      <c r="F464" s="11"/>
      <c r="G464" s="11"/>
    </row>
    <row r="465">
      <c r="F465" s="11"/>
      <c r="G465" s="11"/>
    </row>
    <row r="466">
      <c r="F466" s="11"/>
      <c r="G466" s="11"/>
    </row>
    <row r="467">
      <c r="F467" s="11"/>
      <c r="G467" s="11"/>
    </row>
    <row r="468">
      <c r="F468" s="11"/>
      <c r="G468" s="11"/>
    </row>
    <row r="469">
      <c r="F469" s="11"/>
      <c r="G469" s="11"/>
    </row>
    <row r="470">
      <c r="F470" s="11"/>
      <c r="G470" s="11"/>
    </row>
    <row r="471">
      <c r="F471" s="11"/>
      <c r="G471" s="11"/>
    </row>
    <row r="472">
      <c r="F472" s="11"/>
      <c r="G472" s="11"/>
    </row>
    <row r="473">
      <c r="F473" s="11"/>
      <c r="G473" s="11"/>
    </row>
    <row r="474">
      <c r="F474" s="11"/>
      <c r="G474" s="11"/>
    </row>
    <row r="475">
      <c r="F475" s="11"/>
      <c r="G475" s="11"/>
    </row>
    <row r="476">
      <c r="F476" s="11"/>
      <c r="G476" s="11"/>
    </row>
    <row r="477">
      <c r="F477" s="11"/>
      <c r="G477" s="11"/>
    </row>
    <row r="478">
      <c r="F478" s="11"/>
      <c r="G478" s="11"/>
    </row>
    <row r="479">
      <c r="F479" s="11"/>
      <c r="G479" s="11"/>
    </row>
    <row r="480">
      <c r="F480" s="11"/>
      <c r="G480" s="11"/>
    </row>
    <row r="481">
      <c r="F481" s="11"/>
      <c r="G481" s="11"/>
    </row>
    <row r="482">
      <c r="F482" s="11"/>
      <c r="G482" s="11"/>
    </row>
    <row r="483">
      <c r="F483" s="11"/>
      <c r="G483" s="11"/>
    </row>
    <row r="484">
      <c r="F484" s="11"/>
      <c r="G484" s="11"/>
    </row>
    <row r="485">
      <c r="F485" s="11"/>
      <c r="G485" s="11"/>
    </row>
    <row r="486">
      <c r="F486" s="11"/>
      <c r="G486" s="11"/>
    </row>
    <row r="487">
      <c r="F487" s="11"/>
      <c r="G487" s="11"/>
    </row>
    <row r="488">
      <c r="F488" s="11"/>
      <c r="G488" s="11"/>
    </row>
    <row r="489">
      <c r="F489" s="11"/>
      <c r="G489" s="11"/>
    </row>
    <row r="490">
      <c r="F490" s="11"/>
      <c r="G490" s="11"/>
    </row>
    <row r="491">
      <c r="F491" s="11"/>
      <c r="G491" s="11"/>
    </row>
    <row r="492">
      <c r="F492" s="11"/>
      <c r="G492" s="11"/>
    </row>
    <row r="493">
      <c r="F493" s="11"/>
      <c r="G493" s="11"/>
    </row>
    <row r="494">
      <c r="F494" s="11"/>
      <c r="G494" s="11"/>
    </row>
    <row r="495">
      <c r="F495" s="11"/>
      <c r="G495" s="11"/>
    </row>
    <row r="496">
      <c r="F496" s="11"/>
      <c r="G496" s="11"/>
    </row>
    <row r="497">
      <c r="F497" s="11"/>
      <c r="G497" s="11"/>
    </row>
    <row r="498">
      <c r="F498" s="11"/>
      <c r="G498" s="11"/>
    </row>
    <row r="499">
      <c r="F499" s="11"/>
      <c r="G499" s="11"/>
    </row>
    <row r="500">
      <c r="F500" s="11"/>
      <c r="G500" s="11"/>
    </row>
    <row r="501">
      <c r="F501" s="11"/>
      <c r="G501" s="11"/>
    </row>
    <row r="502">
      <c r="F502" s="11"/>
      <c r="G502" s="11"/>
    </row>
    <row r="503">
      <c r="F503" s="11"/>
      <c r="G503" s="11"/>
    </row>
    <row r="504">
      <c r="F504" s="11"/>
      <c r="G504" s="11"/>
    </row>
    <row r="505">
      <c r="F505" s="11"/>
      <c r="G505" s="11"/>
    </row>
    <row r="506">
      <c r="F506" s="11"/>
      <c r="G506" s="11"/>
    </row>
    <row r="507">
      <c r="F507" s="11"/>
      <c r="G507" s="11"/>
    </row>
    <row r="508">
      <c r="F508" s="11"/>
      <c r="G508" s="11"/>
    </row>
    <row r="509">
      <c r="F509" s="11"/>
      <c r="G509" s="11"/>
    </row>
    <row r="510">
      <c r="F510" s="11"/>
      <c r="G510" s="11"/>
    </row>
    <row r="511">
      <c r="F511" s="11"/>
      <c r="G511" s="11"/>
    </row>
    <row r="512">
      <c r="F512" s="11"/>
      <c r="G512" s="11"/>
    </row>
    <row r="513">
      <c r="F513" s="11"/>
      <c r="G513" s="11"/>
    </row>
    <row r="514">
      <c r="F514" s="11"/>
      <c r="G514" s="11"/>
    </row>
    <row r="515">
      <c r="F515" s="11"/>
      <c r="G515" s="11"/>
    </row>
    <row r="516">
      <c r="F516" s="11"/>
      <c r="G516" s="11"/>
    </row>
    <row r="517">
      <c r="F517" s="11"/>
      <c r="G517" s="11"/>
    </row>
    <row r="518">
      <c r="F518" s="11"/>
      <c r="G518" s="11"/>
    </row>
    <row r="519">
      <c r="F519" s="11"/>
      <c r="G519" s="11"/>
    </row>
    <row r="520">
      <c r="F520" s="11"/>
      <c r="G520" s="11"/>
    </row>
    <row r="521">
      <c r="F521" s="11"/>
      <c r="G521" s="11"/>
    </row>
    <row r="522">
      <c r="F522" s="11"/>
      <c r="G522" s="11"/>
    </row>
    <row r="523">
      <c r="F523" s="11"/>
      <c r="G523" s="11"/>
    </row>
    <row r="524">
      <c r="F524" s="11"/>
      <c r="G524" s="11"/>
    </row>
    <row r="525">
      <c r="F525" s="11"/>
      <c r="G525" s="11"/>
    </row>
    <row r="526">
      <c r="F526" s="11"/>
      <c r="G526" s="11"/>
    </row>
    <row r="527">
      <c r="F527" s="11"/>
      <c r="G527" s="11"/>
    </row>
    <row r="528">
      <c r="F528" s="11"/>
      <c r="G528" s="11"/>
    </row>
    <row r="529">
      <c r="F529" s="11"/>
      <c r="G529" s="11"/>
    </row>
    <row r="530">
      <c r="F530" s="11"/>
      <c r="G530" s="11"/>
    </row>
    <row r="531">
      <c r="F531" s="11"/>
      <c r="G531" s="11"/>
    </row>
    <row r="532">
      <c r="F532" s="11"/>
      <c r="G532" s="11"/>
    </row>
    <row r="533">
      <c r="F533" s="11"/>
      <c r="G533" s="11"/>
    </row>
    <row r="534">
      <c r="F534" s="11"/>
      <c r="G534" s="11"/>
    </row>
    <row r="535">
      <c r="F535" s="11"/>
      <c r="G535" s="11"/>
    </row>
    <row r="536">
      <c r="F536" s="11"/>
      <c r="G536" s="11"/>
    </row>
    <row r="537">
      <c r="F537" s="11"/>
      <c r="G537" s="11"/>
    </row>
    <row r="538">
      <c r="F538" s="11"/>
      <c r="G538" s="11"/>
    </row>
    <row r="539">
      <c r="F539" s="11"/>
      <c r="G539" s="11"/>
    </row>
    <row r="540">
      <c r="F540" s="11"/>
      <c r="G540" s="11"/>
    </row>
    <row r="541">
      <c r="F541" s="11"/>
      <c r="G541" s="11"/>
    </row>
    <row r="542">
      <c r="F542" s="11"/>
      <c r="G542" s="11"/>
    </row>
    <row r="543">
      <c r="F543" s="11"/>
      <c r="G543" s="11"/>
    </row>
    <row r="544">
      <c r="F544" s="11"/>
      <c r="G544" s="11"/>
    </row>
    <row r="545">
      <c r="F545" s="11"/>
      <c r="G545" s="11"/>
    </row>
    <row r="546">
      <c r="F546" s="11"/>
      <c r="G546" s="11"/>
    </row>
    <row r="547">
      <c r="F547" s="11"/>
      <c r="G547" s="11"/>
    </row>
    <row r="548">
      <c r="F548" s="11"/>
      <c r="G548" s="11"/>
    </row>
    <row r="549">
      <c r="F549" s="11"/>
      <c r="G549" s="11"/>
    </row>
    <row r="550">
      <c r="F550" s="11"/>
      <c r="G550" s="11"/>
    </row>
    <row r="551">
      <c r="F551" s="11"/>
      <c r="G551" s="11"/>
    </row>
    <row r="552">
      <c r="F552" s="11"/>
      <c r="G552" s="11"/>
    </row>
    <row r="553">
      <c r="F553" s="11"/>
      <c r="G553" s="11"/>
    </row>
    <row r="554">
      <c r="F554" s="11"/>
      <c r="G554" s="11"/>
    </row>
    <row r="555">
      <c r="F555" s="11"/>
      <c r="G555" s="11"/>
    </row>
    <row r="556">
      <c r="F556" s="11"/>
      <c r="G556" s="11"/>
    </row>
    <row r="557">
      <c r="F557" s="11"/>
      <c r="G557" s="11"/>
    </row>
    <row r="558">
      <c r="F558" s="11"/>
      <c r="G558" s="11"/>
    </row>
    <row r="559">
      <c r="F559" s="11"/>
      <c r="G559" s="11"/>
    </row>
    <row r="560">
      <c r="F560" s="11"/>
      <c r="G560" s="11"/>
    </row>
    <row r="561">
      <c r="F561" s="11"/>
      <c r="G561" s="11"/>
    </row>
    <row r="562">
      <c r="F562" s="11"/>
      <c r="G562" s="11"/>
    </row>
    <row r="563">
      <c r="F563" s="11"/>
      <c r="G563" s="11"/>
    </row>
    <row r="564">
      <c r="F564" s="11"/>
      <c r="G564" s="11"/>
    </row>
    <row r="565">
      <c r="F565" s="11"/>
      <c r="G565" s="11"/>
    </row>
    <row r="566">
      <c r="F566" s="11"/>
      <c r="G566" s="11"/>
    </row>
    <row r="567">
      <c r="F567" s="11"/>
      <c r="G567" s="11"/>
    </row>
    <row r="568">
      <c r="F568" s="11"/>
      <c r="G568" s="11"/>
    </row>
    <row r="569">
      <c r="F569" s="11"/>
      <c r="G569" s="11"/>
    </row>
    <row r="570">
      <c r="F570" s="11"/>
      <c r="G570" s="11"/>
    </row>
    <row r="571">
      <c r="F571" s="11"/>
      <c r="G571" s="11"/>
    </row>
    <row r="572">
      <c r="F572" s="11"/>
      <c r="G572" s="11"/>
    </row>
    <row r="573">
      <c r="F573" s="11"/>
      <c r="G573" s="11"/>
    </row>
    <row r="574">
      <c r="F574" s="11"/>
      <c r="G574" s="11"/>
    </row>
    <row r="575">
      <c r="F575" s="11"/>
      <c r="G575" s="11"/>
    </row>
    <row r="576">
      <c r="F576" s="11"/>
      <c r="G576" s="11"/>
    </row>
    <row r="577">
      <c r="F577" s="11"/>
      <c r="G577" s="11"/>
    </row>
    <row r="578">
      <c r="F578" s="11"/>
      <c r="G578" s="11"/>
    </row>
    <row r="579">
      <c r="F579" s="11"/>
      <c r="G579" s="11"/>
    </row>
    <row r="580">
      <c r="F580" s="11"/>
      <c r="G580" s="11"/>
    </row>
    <row r="581">
      <c r="F581" s="11"/>
      <c r="G581" s="11"/>
    </row>
    <row r="582">
      <c r="F582" s="11"/>
      <c r="G582" s="11"/>
    </row>
    <row r="583">
      <c r="F583" s="11"/>
      <c r="G583" s="11"/>
    </row>
    <row r="584">
      <c r="F584" s="11"/>
      <c r="G584" s="11"/>
    </row>
    <row r="585">
      <c r="F585" s="11"/>
      <c r="G585" s="11"/>
    </row>
    <row r="586">
      <c r="F586" s="11"/>
      <c r="G586" s="11"/>
    </row>
    <row r="587">
      <c r="F587" s="11"/>
      <c r="G587" s="11"/>
    </row>
    <row r="588">
      <c r="F588" s="11"/>
      <c r="G588" s="11"/>
    </row>
    <row r="589">
      <c r="F589" s="11"/>
      <c r="G589" s="11"/>
    </row>
    <row r="590">
      <c r="F590" s="11"/>
      <c r="G590" s="11"/>
    </row>
    <row r="591">
      <c r="F591" s="11"/>
      <c r="G591" s="11"/>
    </row>
    <row r="592">
      <c r="F592" s="11"/>
      <c r="G592" s="11"/>
    </row>
    <row r="593">
      <c r="F593" s="11"/>
      <c r="G593" s="11"/>
    </row>
    <row r="594">
      <c r="F594" s="11"/>
      <c r="G594" s="11"/>
    </row>
    <row r="595">
      <c r="F595" s="11"/>
      <c r="G595" s="11"/>
    </row>
    <row r="596">
      <c r="F596" s="11"/>
      <c r="G596" s="11"/>
    </row>
    <row r="597">
      <c r="F597" s="11"/>
      <c r="G597" s="11"/>
    </row>
    <row r="598">
      <c r="F598" s="11"/>
      <c r="G598" s="11"/>
    </row>
    <row r="599">
      <c r="F599" s="11"/>
      <c r="G599" s="11"/>
    </row>
    <row r="600">
      <c r="F600" s="11"/>
      <c r="G600" s="11"/>
    </row>
    <row r="601">
      <c r="F601" s="11"/>
      <c r="G601" s="11"/>
    </row>
    <row r="602">
      <c r="F602" s="11"/>
      <c r="G602" s="11"/>
    </row>
    <row r="603">
      <c r="F603" s="11"/>
      <c r="G603" s="11"/>
    </row>
    <row r="604">
      <c r="F604" s="11"/>
      <c r="G604" s="11"/>
    </row>
    <row r="605">
      <c r="F605" s="11"/>
      <c r="G605" s="11"/>
    </row>
    <row r="606">
      <c r="F606" s="11"/>
      <c r="G606" s="11"/>
    </row>
    <row r="607">
      <c r="F607" s="11"/>
      <c r="G607" s="11"/>
    </row>
    <row r="608">
      <c r="F608" s="11"/>
      <c r="G608" s="11"/>
    </row>
    <row r="609">
      <c r="F609" s="11"/>
      <c r="G609" s="11"/>
    </row>
    <row r="610">
      <c r="F610" s="11"/>
      <c r="G610" s="11"/>
    </row>
    <row r="611">
      <c r="F611" s="11"/>
      <c r="G611" s="11"/>
    </row>
    <row r="612">
      <c r="F612" s="11"/>
      <c r="G612" s="11"/>
    </row>
    <row r="613">
      <c r="F613" s="11"/>
      <c r="G613" s="11"/>
    </row>
    <row r="614">
      <c r="F614" s="11"/>
      <c r="G614" s="11"/>
    </row>
    <row r="615">
      <c r="F615" s="11"/>
      <c r="G615" s="11"/>
    </row>
    <row r="616">
      <c r="F616" s="11"/>
      <c r="G616" s="11"/>
    </row>
    <row r="617">
      <c r="F617" s="11"/>
      <c r="G617" s="11"/>
    </row>
    <row r="618">
      <c r="F618" s="11"/>
      <c r="G618" s="11"/>
    </row>
    <row r="619">
      <c r="F619" s="11"/>
      <c r="G619" s="11"/>
    </row>
    <row r="620">
      <c r="F620" s="11"/>
      <c r="G620" s="11"/>
    </row>
    <row r="621">
      <c r="F621" s="11"/>
      <c r="G621" s="11"/>
    </row>
    <row r="622">
      <c r="F622" s="11"/>
      <c r="G622" s="11"/>
    </row>
    <row r="623">
      <c r="F623" s="11"/>
      <c r="G623" s="11"/>
    </row>
    <row r="624">
      <c r="F624" s="11"/>
      <c r="G624" s="11"/>
    </row>
    <row r="625">
      <c r="F625" s="11"/>
      <c r="G625" s="11"/>
    </row>
    <row r="626">
      <c r="F626" s="11"/>
      <c r="G626" s="11"/>
    </row>
    <row r="627">
      <c r="F627" s="11"/>
      <c r="G627" s="11"/>
    </row>
    <row r="628">
      <c r="F628" s="11"/>
      <c r="G628" s="11"/>
    </row>
    <row r="629">
      <c r="F629" s="11"/>
      <c r="G629" s="11"/>
    </row>
    <row r="630">
      <c r="F630" s="11"/>
      <c r="G630" s="11"/>
    </row>
    <row r="631">
      <c r="F631" s="11"/>
      <c r="G631" s="11"/>
    </row>
    <row r="632">
      <c r="F632" s="11"/>
      <c r="G632" s="11"/>
    </row>
    <row r="633">
      <c r="F633" s="11"/>
      <c r="G633" s="11"/>
    </row>
    <row r="634">
      <c r="F634" s="11"/>
      <c r="G634" s="11"/>
    </row>
    <row r="635">
      <c r="F635" s="11"/>
      <c r="G635" s="11"/>
    </row>
    <row r="636">
      <c r="F636" s="11"/>
      <c r="G636" s="11"/>
    </row>
    <row r="637">
      <c r="F637" s="11"/>
      <c r="G637" s="11"/>
    </row>
    <row r="638">
      <c r="F638" s="11"/>
      <c r="G638" s="11"/>
    </row>
    <row r="639">
      <c r="F639" s="11"/>
      <c r="G639" s="11"/>
    </row>
    <row r="640">
      <c r="F640" s="11"/>
      <c r="G640" s="11"/>
    </row>
    <row r="641">
      <c r="F641" s="11"/>
      <c r="G641" s="11"/>
    </row>
    <row r="642">
      <c r="F642" s="11"/>
      <c r="G642" s="11"/>
    </row>
    <row r="643">
      <c r="F643" s="11"/>
      <c r="G643" s="11"/>
    </row>
    <row r="644">
      <c r="F644" s="11"/>
      <c r="G644" s="11"/>
    </row>
    <row r="645">
      <c r="F645" s="11"/>
      <c r="G645" s="11"/>
    </row>
    <row r="646">
      <c r="F646" s="11"/>
      <c r="G646" s="11"/>
    </row>
    <row r="647">
      <c r="F647" s="11"/>
      <c r="G647" s="11"/>
    </row>
    <row r="648">
      <c r="F648" s="11"/>
      <c r="G648" s="11"/>
    </row>
    <row r="649">
      <c r="F649" s="11"/>
      <c r="G649" s="11"/>
    </row>
    <row r="650">
      <c r="F650" s="11"/>
      <c r="G650" s="11"/>
    </row>
    <row r="651">
      <c r="F651" s="11"/>
      <c r="G651" s="11"/>
    </row>
    <row r="652">
      <c r="F652" s="11"/>
      <c r="G652" s="11"/>
    </row>
    <row r="653">
      <c r="F653" s="11"/>
      <c r="G653" s="11"/>
    </row>
    <row r="654">
      <c r="F654" s="11"/>
      <c r="G654" s="11"/>
    </row>
    <row r="655">
      <c r="F655" s="11"/>
      <c r="G655" s="11"/>
    </row>
    <row r="656">
      <c r="F656" s="11"/>
      <c r="G656" s="11"/>
    </row>
    <row r="657">
      <c r="F657" s="11"/>
      <c r="G657" s="11"/>
    </row>
    <row r="658">
      <c r="F658" s="11"/>
      <c r="G658" s="11"/>
    </row>
    <row r="659">
      <c r="F659" s="11"/>
      <c r="G659" s="11"/>
    </row>
    <row r="660">
      <c r="F660" s="11"/>
      <c r="G660" s="11"/>
    </row>
    <row r="661">
      <c r="F661" s="11"/>
      <c r="G661" s="11"/>
    </row>
    <row r="662">
      <c r="F662" s="11"/>
      <c r="G662" s="11"/>
    </row>
    <row r="663">
      <c r="F663" s="11"/>
      <c r="G663" s="11"/>
    </row>
    <row r="664">
      <c r="F664" s="11"/>
      <c r="G664" s="11"/>
    </row>
    <row r="665">
      <c r="F665" s="11"/>
      <c r="G665" s="11"/>
    </row>
    <row r="666">
      <c r="F666" s="11"/>
      <c r="G666" s="11"/>
    </row>
    <row r="667">
      <c r="F667" s="11"/>
      <c r="G667" s="11"/>
    </row>
    <row r="668">
      <c r="F668" s="11"/>
      <c r="G668" s="11"/>
    </row>
    <row r="669">
      <c r="F669" s="11"/>
      <c r="G669" s="11"/>
    </row>
    <row r="670">
      <c r="F670" s="11"/>
      <c r="G670" s="11"/>
    </row>
    <row r="671">
      <c r="F671" s="11"/>
      <c r="G671" s="11"/>
    </row>
    <row r="672">
      <c r="F672" s="11"/>
      <c r="G672" s="11"/>
    </row>
    <row r="673">
      <c r="F673" s="11"/>
      <c r="G673" s="11"/>
    </row>
    <row r="674">
      <c r="F674" s="11"/>
      <c r="G674" s="11"/>
    </row>
    <row r="675">
      <c r="F675" s="11"/>
      <c r="G675" s="11"/>
    </row>
    <row r="676">
      <c r="F676" s="11"/>
      <c r="G676" s="11"/>
    </row>
    <row r="677">
      <c r="F677" s="11"/>
      <c r="G677" s="11"/>
    </row>
    <row r="678">
      <c r="F678" s="11"/>
      <c r="G678" s="11"/>
    </row>
    <row r="679">
      <c r="F679" s="11"/>
      <c r="G679" s="11"/>
    </row>
    <row r="680">
      <c r="F680" s="11"/>
      <c r="G680" s="11"/>
    </row>
    <row r="681">
      <c r="F681" s="11"/>
      <c r="G681" s="11"/>
    </row>
    <row r="682">
      <c r="F682" s="11"/>
      <c r="G682" s="11"/>
    </row>
    <row r="683">
      <c r="F683" s="11"/>
      <c r="G683" s="11"/>
    </row>
    <row r="684">
      <c r="F684" s="11"/>
      <c r="G684" s="11"/>
    </row>
    <row r="685">
      <c r="F685" s="11"/>
      <c r="G685" s="11"/>
    </row>
    <row r="686">
      <c r="F686" s="11"/>
      <c r="G686" s="11"/>
    </row>
    <row r="687">
      <c r="F687" s="11"/>
      <c r="G687" s="11"/>
    </row>
    <row r="688">
      <c r="F688" s="11"/>
      <c r="G688" s="11"/>
    </row>
    <row r="689">
      <c r="F689" s="11"/>
      <c r="G689" s="11"/>
    </row>
    <row r="690">
      <c r="F690" s="11"/>
      <c r="G690" s="11"/>
    </row>
    <row r="691">
      <c r="F691" s="11"/>
      <c r="G691" s="11"/>
    </row>
    <row r="692">
      <c r="F692" s="11"/>
      <c r="G692" s="11"/>
    </row>
    <row r="693">
      <c r="F693" s="11"/>
      <c r="G693" s="11"/>
    </row>
    <row r="694">
      <c r="F694" s="11"/>
      <c r="G694" s="11"/>
    </row>
    <row r="695">
      <c r="F695" s="11"/>
      <c r="G695" s="11"/>
    </row>
    <row r="696">
      <c r="F696" s="11"/>
      <c r="G696" s="11"/>
    </row>
    <row r="697">
      <c r="F697" s="11"/>
      <c r="G697" s="11"/>
    </row>
    <row r="698">
      <c r="F698" s="11"/>
      <c r="G698" s="11"/>
    </row>
    <row r="699">
      <c r="F699" s="11"/>
      <c r="G699" s="11"/>
    </row>
    <row r="700">
      <c r="F700" s="11"/>
      <c r="G700" s="11"/>
    </row>
    <row r="701">
      <c r="F701" s="11"/>
      <c r="G701" s="11"/>
    </row>
    <row r="702">
      <c r="F702" s="11"/>
      <c r="G702" s="11"/>
    </row>
    <row r="703">
      <c r="F703" s="11"/>
      <c r="G703" s="11"/>
    </row>
    <row r="704">
      <c r="F704" s="11"/>
      <c r="G704" s="11"/>
    </row>
    <row r="705">
      <c r="F705" s="11"/>
      <c r="G705" s="11"/>
    </row>
    <row r="706">
      <c r="F706" s="11"/>
      <c r="G706" s="11"/>
    </row>
    <row r="707">
      <c r="F707" s="11"/>
      <c r="G707" s="11"/>
    </row>
    <row r="708">
      <c r="F708" s="11"/>
      <c r="G708" s="11"/>
    </row>
    <row r="709">
      <c r="F709" s="11"/>
      <c r="G709" s="11"/>
    </row>
    <row r="710">
      <c r="F710" s="11"/>
      <c r="G710" s="11"/>
    </row>
    <row r="711">
      <c r="F711" s="11"/>
      <c r="G711" s="11"/>
    </row>
    <row r="712">
      <c r="F712" s="11"/>
      <c r="G712" s="11"/>
    </row>
    <row r="713">
      <c r="F713" s="11"/>
      <c r="G713" s="11"/>
    </row>
    <row r="714">
      <c r="F714" s="11"/>
      <c r="G714" s="11"/>
    </row>
    <row r="715">
      <c r="F715" s="11"/>
      <c r="G715" s="11"/>
    </row>
    <row r="716">
      <c r="F716" s="11"/>
      <c r="G716" s="11"/>
    </row>
    <row r="717">
      <c r="F717" s="11"/>
      <c r="G717" s="11"/>
    </row>
    <row r="718">
      <c r="F718" s="11"/>
      <c r="G718" s="11"/>
    </row>
    <row r="719">
      <c r="F719" s="11"/>
      <c r="G719" s="11"/>
    </row>
    <row r="720">
      <c r="F720" s="11"/>
      <c r="G720" s="11"/>
    </row>
    <row r="721">
      <c r="F721" s="11"/>
      <c r="G721" s="11"/>
    </row>
    <row r="722">
      <c r="F722" s="11"/>
      <c r="G722" s="11"/>
    </row>
    <row r="723">
      <c r="F723" s="11"/>
      <c r="G723" s="11"/>
    </row>
    <row r="724">
      <c r="F724" s="11"/>
      <c r="G724" s="11"/>
    </row>
    <row r="725">
      <c r="F725" s="11"/>
      <c r="G725" s="11"/>
    </row>
    <row r="726">
      <c r="F726" s="11"/>
      <c r="G726" s="11"/>
    </row>
    <row r="727">
      <c r="F727" s="11"/>
      <c r="G727" s="11"/>
    </row>
    <row r="728">
      <c r="F728" s="11"/>
      <c r="G728" s="11"/>
    </row>
    <row r="729">
      <c r="F729" s="11"/>
      <c r="G729" s="11"/>
    </row>
    <row r="730">
      <c r="F730" s="11"/>
      <c r="G730" s="11"/>
    </row>
    <row r="731">
      <c r="F731" s="11"/>
      <c r="G731" s="11"/>
    </row>
    <row r="732">
      <c r="F732" s="11"/>
      <c r="G732" s="11"/>
    </row>
    <row r="733">
      <c r="F733" s="11"/>
      <c r="G733" s="11"/>
    </row>
    <row r="734">
      <c r="F734" s="11"/>
      <c r="G734" s="11"/>
    </row>
    <row r="735">
      <c r="F735" s="11"/>
      <c r="G735" s="11"/>
    </row>
    <row r="736">
      <c r="F736" s="11"/>
      <c r="G736" s="11"/>
    </row>
    <row r="737">
      <c r="F737" s="11"/>
      <c r="G737" s="11"/>
    </row>
    <row r="738">
      <c r="F738" s="11"/>
      <c r="G738" s="11"/>
    </row>
    <row r="739">
      <c r="F739" s="11"/>
      <c r="G739" s="11"/>
    </row>
    <row r="740">
      <c r="F740" s="11"/>
      <c r="G740" s="11"/>
    </row>
    <row r="741">
      <c r="F741" s="11"/>
      <c r="G741" s="11"/>
    </row>
    <row r="742">
      <c r="F742" s="11"/>
      <c r="G742" s="11"/>
    </row>
    <row r="743">
      <c r="F743" s="11"/>
      <c r="G743" s="11"/>
    </row>
    <row r="744">
      <c r="F744" s="11"/>
      <c r="G744" s="11"/>
    </row>
    <row r="745">
      <c r="F745" s="11"/>
      <c r="G745" s="11"/>
    </row>
    <row r="746">
      <c r="F746" s="11"/>
      <c r="G746" s="11"/>
    </row>
    <row r="747">
      <c r="F747" s="11"/>
      <c r="G747" s="11"/>
    </row>
    <row r="748">
      <c r="F748" s="11"/>
      <c r="G748" s="11"/>
    </row>
    <row r="749">
      <c r="F749" s="11"/>
      <c r="G749" s="11"/>
    </row>
    <row r="750">
      <c r="F750" s="11"/>
      <c r="G750" s="11"/>
    </row>
    <row r="751">
      <c r="F751" s="11"/>
      <c r="G751" s="11"/>
    </row>
    <row r="752">
      <c r="F752" s="11"/>
      <c r="G752" s="11"/>
    </row>
    <row r="753">
      <c r="F753" s="11"/>
      <c r="G753" s="11"/>
    </row>
    <row r="754">
      <c r="F754" s="11"/>
      <c r="G754" s="11"/>
    </row>
    <row r="755">
      <c r="F755" s="11"/>
      <c r="G755" s="11"/>
    </row>
    <row r="756">
      <c r="F756" s="11"/>
      <c r="G756" s="11"/>
    </row>
    <row r="757">
      <c r="F757" s="11"/>
      <c r="G757" s="11"/>
    </row>
    <row r="758">
      <c r="F758" s="11"/>
      <c r="G758" s="11"/>
    </row>
    <row r="759">
      <c r="F759" s="11"/>
      <c r="G759" s="11"/>
    </row>
    <row r="760">
      <c r="F760" s="11"/>
      <c r="G760" s="11"/>
    </row>
    <row r="761">
      <c r="F761" s="11"/>
      <c r="G761" s="11"/>
    </row>
    <row r="762">
      <c r="F762" s="11"/>
      <c r="G762" s="11"/>
    </row>
    <row r="763">
      <c r="F763" s="11"/>
      <c r="G763" s="11"/>
    </row>
    <row r="764">
      <c r="F764" s="11"/>
      <c r="G764" s="11"/>
    </row>
    <row r="765">
      <c r="F765" s="11"/>
      <c r="G765" s="11"/>
    </row>
    <row r="766">
      <c r="F766" s="11"/>
      <c r="G766" s="11"/>
    </row>
    <row r="767">
      <c r="F767" s="11"/>
      <c r="G767" s="11"/>
    </row>
    <row r="768">
      <c r="F768" s="11"/>
      <c r="G768" s="11"/>
    </row>
    <row r="769">
      <c r="F769" s="11"/>
      <c r="G769" s="11"/>
    </row>
    <row r="770">
      <c r="F770" s="11"/>
      <c r="G770" s="11"/>
    </row>
    <row r="771">
      <c r="F771" s="11"/>
      <c r="G771" s="11"/>
    </row>
    <row r="772">
      <c r="F772" s="11"/>
      <c r="G772" s="11"/>
    </row>
    <row r="773">
      <c r="F773" s="11"/>
      <c r="G773" s="11"/>
    </row>
    <row r="774">
      <c r="F774" s="11"/>
      <c r="G774" s="11"/>
    </row>
    <row r="775">
      <c r="F775" s="11"/>
      <c r="G775" s="11"/>
    </row>
    <row r="776">
      <c r="F776" s="11"/>
      <c r="G776" s="11"/>
    </row>
    <row r="777">
      <c r="F777" s="11"/>
      <c r="G777" s="11"/>
    </row>
    <row r="778">
      <c r="F778" s="11"/>
      <c r="G778" s="11"/>
    </row>
    <row r="779">
      <c r="F779" s="11"/>
      <c r="G779" s="11"/>
    </row>
    <row r="780">
      <c r="F780" s="11"/>
      <c r="G780" s="11"/>
    </row>
    <row r="781">
      <c r="F781" s="11"/>
      <c r="G781" s="11"/>
    </row>
    <row r="782">
      <c r="F782" s="11"/>
      <c r="G782" s="11"/>
    </row>
    <row r="783">
      <c r="F783" s="11"/>
      <c r="G783" s="11"/>
    </row>
    <row r="784">
      <c r="F784" s="11"/>
      <c r="G784" s="11"/>
    </row>
    <row r="785">
      <c r="F785" s="11"/>
      <c r="G785" s="11"/>
    </row>
    <row r="786">
      <c r="F786" s="11"/>
      <c r="G786" s="11"/>
    </row>
    <row r="787">
      <c r="F787" s="11"/>
      <c r="G787" s="11"/>
    </row>
    <row r="788">
      <c r="F788" s="11"/>
      <c r="G788" s="11"/>
    </row>
    <row r="789">
      <c r="F789" s="11"/>
      <c r="G789" s="11"/>
    </row>
    <row r="790">
      <c r="F790" s="11"/>
      <c r="G790" s="11"/>
    </row>
    <row r="791">
      <c r="F791" s="11"/>
      <c r="G791" s="11"/>
    </row>
    <row r="792">
      <c r="F792" s="11"/>
      <c r="G792" s="11"/>
    </row>
    <row r="793">
      <c r="F793" s="11"/>
      <c r="G793" s="11"/>
    </row>
    <row r="794">
      <c r="F794" s="11"/>
      <c r="G794" s="11"/>
    </row>
    <row r="795">
      <c r="F795" s="11"/>
      <c r="G795" s="11"/>
    </row>
    <row r="796">
      <c r="F796" s="11"/>
      <c r="G796" s="11"/>
    </row>
    <row r="797">
      <c r="F797" s="11"/>
      <c r="G797" s="11"/>
    </row>
    <row r="798">
      <c r="F798" s="11"/>
      <c r="G798" s="11"/>
    </row>
    <row r="799">
      <c r="F799" s="11"/>
      <c r="G799" s="11"/>
    </row>
    <row r="800">
      <c r="F800" s="11"/>
      <c r="G800" s="11"/>
    </row>
    <row r="801">
      <c r="F801" s="11"/>
      <c r="G801" s="11"/>
    </row>
    <row r="802">
      <c r="F802" s="11"/>
      <c r="G802" s="11"/>
    </row>
    <row r="803">
      <c r="F803" s="11"/>
      <c r="G803" s="11"/>
    </row>
    <row r="804">
      <c r="F804" s="11"/>
      <c r="G804" s="11"/>
    </row>
    <row r="805">
      <c r="F805" s="11"/>
      <c r="G805" s="11"/>
    </row>
    <row r="806">
      <c r="F806" s="11"/>
      <c r="G806" s="11"/>
    </row>
    <row r="807">
      <c r="F807" s="11"/>
      <c r="G807" s="11"/>
    </row>
    <row r="808">
      <c r="F808" s="11"/>
      <c r="G808" s="11"/>
    </row>
    <row r="809">
      <c r="F809" s="11"/>
      <c r="G809" s="11"/>
    </row>
    <row r="810">
      <c r="F810" s="11"/>
      <c r="G810" s="11"/>
    </row>
    <row r="811">
      <c r="F811" s="11"/>
      <c r="G811" s="11"/>
    </row>
    <row r="812">
      <c r="F812" s="11"/>
      <c r="G812" s="11"/>
    </row>
    <row r="813">
      <c r="F813" s="11"/>
      <c r="G813" s="11"/>
    </row>
    <row r="814">
      <c r="F814" s="11"/>
      <c r="G814" s="11"/>
    </row>
    <row r="815">
      <c r="F815" s="11"/>
      <c r="G815" s="11"/>
    </row>
    <row r="816">
      <c r="F816" s="11"/>
      <c r="G816" s="11"/>
    </row>
    <row r="817">
      <c r="F817" s="11"/>
      <c r="G817" s="11"/>
    </row>
    <row r="818">
      <c r="F818" s="11"/>
      <c r="G818" s="11"/>
    </row>
    <row r="819">
      <c r="F819" s="11"/>
      <c r="G819" s="11"/>
    </row>
    <row r="820">
      <c r="F820" s="11"/>
      <c r="G820" s="11"/>
    </row>
    <row r="821">
      <c r="F821" s="11"/>
      <c r="G821" s="11"/>
    </row>
    <row r="822">
      <c r="F822" s="11"/>
      <c r="G822" s="11"/>
    </row>
    <row r="823">
      <c r="F823" s="11"/>
      <c r="G823" s="11"/>
    </row>
    <row r="824">
      <c r="F824" s="11"/>
      <c r="G824" s="11"/>
    </row>
    <row r="825">
      <c r="F825" s="11"/>
      <c r="G825" s="11"/>
    </row>
    <row r="826">
      <c r="F826" s="11"/>
      <c r="G826" s="11"/>
    </row>
    <row r="827">
      <c r="F827" s="11"/>
      <c r="G827" s="11"/>
    </row>
    <row r="828">
      <c r="F828" s="11"/>
      <c r="G828" s="11"/>
    </row>
    <row r="829">
      <c r="F829" s="11"/>
      <c r="G829" s="11"/>
    </row>
    <row r="830">
      <c r="F830" s="11"/>
      <c r="G830" s="11"/>
    </row>
    <row r="831">
      <c r="F831" s="11"/>
      <c r="G831" s="11"/>
    </row>
    <row r="832">
      <c r="F832" s="11"/>
      <c r="G832" s="11"/>
    </row>
    <row r="833">
      <c r="F833" s="11"/>
      <c r="G833" s="11"/>
    </row>
    <row r="834">
      <c r="F834" s="11"/>
      <c r="G834" s="11"/>
    </row>
    <row r="835">
      <c r="F835" s="11"/>
      <c r="G835" s="11"/>
    </row>
    <row r="836">
      <c r="F836" s="11"/>
      <c r="G836" s="11"/>
    </row>
    <row r="837">
      <c r="F837" s="11"/>
      <c r="G837" s="11"/>
    </row>
    <row r="838">
      <c r="F838" s="11"/>
      <c r="G838" s="11"/>
    </row>
    <row r="839">
      <c r="F839" s="11"/>
      <c r="G839" s="11"/>
    </row>
    <row r="840">
      <c r="F840" s="11"/>
      <c r="G840" s="11"/>
    </row>
    <row r="841">
      <c r="F841" s="11"/>
      <c r="G841" s="11"/>
    </row>
    <row r="842">
      <c r="F842" s="11"/>
      <c r="G842" s="11"/>
    </row>
    <row r="843">
      <c r="F843" s="11"/>
      <c r="G843" s="11"/>
    </row>
    <row r="844">
      <c r="F844" s="11"/>
      <c r="G844" s="11"/>
    </row>
    <row r="845">
      <c r="F845" s="11"/>
      <c r="G845" s="11"/>
    </row>
    <row r="846">
      <c r="F846" s="11"/>
      <c r="G846" s="11"/>
    </row>
    <row r="847">
      <c r="F847" s="11"/>
      <c r="G847" s="11"/>
    </row>
    <row r="848">
      <c r="F848" s="11"/>
      <c r="G848" s="11"/>
    </row>
    <row r="849">
      <c r="F849" s="11"/>
      <c r="G849" s="11"/>
    </row>
    <row r="850">
      <c r="F850" s="11"/>
      <c r="G850" s="11"/>
    </row>
    <row r="851">
      <c r="F851" s="11"/>
      <c r="G851" s="11"/>
    </row>
    <row r="852">
      <c r="F852" s="11"/>
      <c r="G852" s="11"/>
    </row>
    <row r="853">
      <c r="F853" s="11"/>
      <c r="G853" s="11"/>
    </row>
    <row r="854">
      <c r="F854" s="11"/>
      <c r="G854" s="11"/>
    </row>
    <row r="855">
      <c r="F855" s="11"/>
      <c r="G855" s="11"/>
    </row>
    <row r="856">
      <c r="F856" s="11"/>
      <c r="G856" s="11"/>
    </row>
    <row r="857">
      <c r="F857" s="11"/>
      <c r="G857" s="11"/>
    </row>
    <row r="858">
      <c r="F858" s="11"/>
      <c r="G858" s="11"/>
    </row>
    <row r="859">
      <c r="F859" s="11"/>
      <c r="G859" s="11"/>
    </row>
    <row r="860">
      <c r="F860" s="11"/>
      <c r="G860" s="11"/>
    </row>
    <row r="861">
      <c r="F861" s="11"/>
      <c r="G861" s="11"/>
    </row>
    <row r="862">
      <c r="F862" s="11"/>
      <c r="G862" s="11"/>
    </row>
    <row r="863">
      <c r="F863" s="11"/>
      <c r="G863" s="11"/>
    </row>
    <row r="864">
      <c r="F864" s="11"/>
      <c r="G864" s="11"/>
    </row>
    <row r="865">
      <c r="F865" s="11"/>
      <c r="G865" s="11"/>
    </row>
    <row r="866">
      <c r="F866" s="11"/>
      <c r="G866" s="11"/>
    </row>
    <row r="867">
      <c r="F867" s="11"/>
      <c r="G867" s="11"/>
    </row>
    <row r="868">
      <c r="F868" s="11"/>
      <c r="G868" s="11"/>
    </row>
    <row r="869">
      <c r="F869" s="11"/>
      <c r="G869" s="11"/>
    </row>
    <row r="870">
      <c r="F870" s="11"/>
      <c r="G870" s="11"/>
    </row>
    <row r="871">
      <c r="F871" s="11"/>
      <c r="G871" s="11"/>
    </row>
    <row r="872">
      <c r="F872" s="11"/>
      <c r="G872" s="11"/>
    </row>
    <row r="873">
      <c r="F873" s="11"/>
      <c r="G873" s="11"/>
    </row>
    <row r="874">
      <c r="F874" s="11"/>
      <c r="G874" s="11"/>
    </row>
    <row r="875">
      <c r="F875" s="11"/>
      <c r="G875" s="11"/>
    </row>
    <row r="876">
      <c r="F876" s="11"/>
      <c r="G876" s="11"/>
    </row>
    <row r="877">
      <c r="F877" s="11"/>
      <c r="G877" s="11"/>
    </row>
    <row r="878">
      <c r="F878" s="11"/>
      <c r="G878" s="11"/>
    </row>
    <row r="879">
      <c r="F879" s="11"/>
      <c r="G879" s="11"/>
    </row>
    <row r="880">
      <c r="F880" s="11"/>
      <c r="G880" s="11"/>
    </row>
    <row r="881">
      <c r="F881" s="11"/>
      <c r="G881" s="11"/>
    </row>
    <row r="882">
      <c r="F882" s="11"/>
      <c r="G882" s="11"/>
    </row>
    <row r="883">
      <c r="F883" s="11"/>
      <c r="G883" s="11"/>
    </row>
    <row r="884">
      <c r="F884" s="11"/>
      <c r="G884" s="11"/>
    </row>
    <row r="885">
      <c r="F885" s="11"/>
      <c r="G885" s="11"/>
    </row>
    <row r="886">
      <c r="F886" s="11"/>
      <c r="G886" s="11"/>
    </row>
    <row r="887">
      <c r="F887" s="11"/>
      <c r="G887" s="11"/>
    </row>
    <row r="888">
      <c r="F888" s="11"/>
      <c r="G888" s="11"/>
    </row>
    <row r="889">
      <c r="F889" s="11"/>
      <c r="G889" s="11"/>
    </row>
    <row r="890">
      <c r="F890" s="11"/>
      <c r="G890" s="11"/>
    </row>
    <row r="891">
      <c r="F891" s="11"/>
      <c r="G891" s="11"/>
    </row>
    <row r="892">
      <c r="F892" s="11"/>
      <c r="G892" s="11"/>
    </row>
    <row r="893">
      <c r="F893" s="11"/>
      <c r="G893" s="11"/>
    </row>
    <row r="894">
      <c r="F894" s="11"/>
      <c r="G894" s="11"/>
    </row>
    <row r="895">
      <c r="F895" s="11"/>
      <c r="G895" s="11"/>
    </row>
    <row r="896">
      <c r="F896" s="11"/>
      <c r="G896" s="11"/>
    </row>
    <row r="897">
      <c r="F897" s="11"/>
      <c r="G897" s="11"/>
    </row>
    <row r="898">
      <c r="F898" s="11"/>
      <c r="G898" s="11"/>
    </row>
    <row r="899">
      <c r="F899" s="11"/>
      <c r="G899" s="11"/>
    </row>
    <row r="900">
      <c r="F900" s="11"/>
      <c r="G900" s="11"/>
    </row>
    <row r="901">
      <c r="F901" s="11"/>
      <c r="G901" s="11"/>
    </row>
    <row r="902">
      <c r="F902" s="11"/>
      <c r="G902" s="11"/>
    </row>
    <row r="903">
      <c r="F903" s="11"/>
      <c r="G903" s="11"/>
    </row>
    <row r="904">
      <c r="F904" s="11"/>
      <c r="G904" s="11"/>
    </row>
    <row r="905">
      <c r="F905" s="11"/>
      <c r="G905" s="11"/>
    </row>
    <row r="906">
      <c r="F906" s="11"/>
      <c r="G906" s="11"/>
    </row>
    <row r="907">
      <c r="F907" s="11"/>
      <c r="G907" s="11"/>
    </row>
    <row r="908">
      <c r="F908" s="11"/>
      <c r="G908" s="11"/>
    </row>
    <row r="909">
      <c r="F909" s="11"/>
      <c r="G909" s="11"/>
    </row>
    <row r="910">
      <c r="F910" s="11"/>
      <c r="G910" s="11"/>
    </row>
    <row r="911">
      <c r="F911" s="11"/>
      <c r="G911" s="11"/>
    </row>
    <row r="912">
      <c r="F912" s="11"/>
      <c r="G912" s="11"/>
    </row>
    <row r="913">
      <c r="F913" s="11"/>
      <c r="G913" s="11"/>
    </row>
  </sheetData>
  <autoFilter ref="$A$2:$K$5"/>
  <mergeCells count="1">
    <mergeCell ref="A1:F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  <col customWidth="1" min="2" max="2" width="17.5"/>
    <col customWidth="1" min="3" max="3" width="15.38"/>
    <col customWidth="1" min="4" max="4" width="16.63"/>
    <col customWidth="1" min="8" max="8" width="18.5"/>
    <col hidden="1" min="10" max="11" width="12.63"/>
  </cols>
  <sheetData>
    <row r="1">
      <c r="A1" s="1" t="s">
        <v>35</v>
      </c>
      <c r="B1" s="1" t="s">
        <v>43</v>
      </c>
      <c r="C1" s="1" t="s">
        <v>44</v>
      </c>
      <c r="D1" s="1" t="s">
        <v>45</v>
      </c>
      <c r="E1" s="1" t="s">
        <v>46</v>
      </c>
      <c r="F1" s="2" t="s">
        <v>47</v>
      </c>
      <c r="G1" s="2" t="s">
        <v>48</v>
      </c>
      <c r="H1" s="1" t="s">
        <v>49</v>
      </c>
    </row>
    <row r="2">
      <c r="A2" s="3" t="s">
        <v>50</v>
      </c>
      <c r="B2" s="3" t="s">
        <v>51</v>
      </c>
      <c r="C2" s="3">
        <v>3.0</v>
      </c>
      <c r="D2" s="3">
        <v>3.0</v>
      </c>
      <c r="E2" s="3">
        <v>17.0</v>
      </c>
      <c r="F2" s="3">
        <v>200.0</v>
      </c>
      <c r="G2" s="4" t="str">
        <f t="shared" ref="G2:G12" si="1">CONCATENATE(D2,"/",C2)</f>
        <v>3/3</v>
      </c>
      <c r="H2" s="25">
        <f t="shared" ref="H2:H12" si="2">C2-D2</f>
        <v>0</v>
      </c>
      <c r="J2" s="26">
        <v>1.0</v>
      </c>
      <c r="K2" s="27" t="str">
        <f t="shared" ref="K2:K4" si="3">CONCATENATE(J2,". ",B2," - ", G2)</f>
        <v>1. Emmanuel Ottiboe - 3/3</v>
      </c>
    </row>
    <row r="3">
      <c r="A3" s="3" t="s">
        <v>52</v>
      </c>
      <c r="B3" s="3" t="s">
        <v>53</v>
      </c>
      <c r="C3" s="3">
        <v>3.0</v>
      </c>
      <c r="D3" s="3">
        <v>3.0</v>
      </c>
      <c r="E3" s="3">
        <v>18.0</v>
      </c>
      <c r="F3" s="3">
        <v>140.0</v>
      </c>
      <c r="G3" s="4" t="str">
        <f t="shared" si="1"/>
        <v>3/3</v>
      </c>
      <c r="H3" s="25">
        <f t="shared" si="2"/>
        <v>0</v>
      </c>
      <c r="J3" s="27">
        <f>1+J2</f>
        <v>2</v>
      </c>
      <c r="K3" s="27" t="str">
        <f t="shared" si="3"/>
        <v>2. Ishmael Oplerm - 3/3</v>
      </c>
    </row>
    <row r="4">
      <c r="A4" s="3" t="s">
        <v>54</v>
      </c>
      <c r="B4" s="3" t="s">
        <v>55</v>
      </c>
      <c r="C4" s="3">
        <v>4.0</v>
      </c>
      <c r="D4" s="3">
        <v>4.0</v>
      </c>
      <c r="E4" s="3">
        <v>15.0</v>
      </c>
      <c r="F4" s="3">
        <v>215.0</v>
      </c>
      <c r="G4" s="4" t="str">
        <f t="shared" si="1"/>
        <v>4/4</v>
      </c>
      <c r="H4" s="25">
        <f t="shared" si="2"/>
        <v>0</v>
      </c>
      <c r="J4" s="26">
        <v>1.0</v>
      </c>
      <c r="K4" s="27" t="str">
        <f t="shared" si="3"/>
        <v>1. James Pekyie - 4/4</v>
      </c>
    </row>
    <row r="5">
      <c r="A5" s="28" t="s">
        <v>52</v>
      </c>
      <c r="B5" s="3" t="s">
        <v>56</v>
      </c>
      <c r="C5" s="3">
        <v>3.0</v>
      </c>
      <c r="D5" s="3">
        <v>3.0</v>
      </c>
      <c r="E5" s="3">
        <v>12.0</v>
      </c>
      <c r="F5" s="4">
        <v>90.0</v>
      </c>
      <c r="G5" s="4" t="str">
        <f t="shared" si="1"/>
        <v>3/3</v>
      </c>
      <c r="H5" s="25">
        <f t="shared" si="2"/>
        <v>0</v>
      </c>
    </row>
    <row r="6">
      <c r="A6" s="28" t="s">
        <v>57</v>
      </c>
      <c r="B6" s="3" t="s">
        <v>15</v>
      </c>
      <c r="C6" s="3">
        <v>3.0</v>
      </c>
      <c r="D6" s="3">
        <v>4.0</v>
      </c>
      <c r="E6" s="3">
        <v>39.0</v>
      </c>
      <c r="F6" s="4">
        <v>594.46</v>
      </c>
      <c r="G6" s="4" t="str">
        <f t="shared" si="1"/>
        <v>4/3</v>
      </c>
      <c r="H6" s="25">
        <f t="shared" si="2"/>
        <v>-1</v>
      </c>
      <c r="J6" s="27">
        <f>1+J4</f>
        <v>2</v>
      </c>
      <c r="K6" s="27" t="str">
        <f>CONCATENATE(J6,". ",B6," - ", G6)</f>
        <v>2. Richmond Annan - 4/3</v>
      </c>
    </row>
    <row r="7">
      <c r="A7" s="3" t="s">
        <v>58</v>
      </c>
      <c r="B7" s="3" t="s">
        <v>59</v>
      </c>
      <c r="C7" s="3">
        <v>3.0</v>
      </c>
      <c r="D7" s="3">
        <v>3.0</v>
      </c>
      <c r="E7" s="3">
        <v>20.0</v>
      </c>
      <c r="F7" s="3">
        <v>70.0</v>
      </c>
      <c r="G7" s="4" t="str">
        <f t="shared" si="1"/>
        <v>3/3</v>
      </c>
      <c r="H7" s="25">
        <f t="shared" si="2"/>
        <v>0</v>
      </c>
    </row>
    <row r="8">
      <c r="A8" s="3" t="s">
        <v>60</v>
      </c>
      <c r="B8" s="3" t="s">
        <v>61</v>
      </c>
      <c r="C8" s="3">
        <v>1.0</v>
      </c>
      <c r="D8" s="3">
        <v>0.0</v>
      </c>
      <c r="E8" s="3">
        <v>0.0</v>
      </c>
      <c r="F8" s="3">
        <v>0.0</v>
      </c>
      <c r="G8" s="4" t="str">
        <f t="shared" si="1"/>
        <v>0/1</v>
      </c>
      <c r="H8" s="25">
        <f t="shared" si="2"/>
        <v>1</v>
      </c>
      <c r="J8" s="27">
        <f>1+J6</f>
        <v>3</v>
      </c>
      <c r="K8" s="27" t="str">
        <f>CONCATENATE(J8,". ",B8," - ", G8)</f>
        <v>3. Abednego Abbey - 0/1</v>
      </c>
    </row>
    <row r="9">
      <c r="A9" s="3" t="s">
        <v>62</v>
      </c>
      <c r="B9" s="28" t="s">
        <v>63</v>
      </c>
      <c r="C9" s="3">
        <v>6.0</v>
      </c>
      <c r="D9" s="3">
        <v>5.0</v>
      </c>
      <c r="E9" s="3">
        <v>19.0</v>
      </c>
      <c r="F9" s="3">
        <v>170.0</v>
      </c>
      <c r="G9" s="4" t="str">
        <f t="shared" si="1"/>
        <v>5/6</v>
      </c>
      <c r="H9" s="25">
        <f t="shared" si="2"/>
        <v>1</v>
      </c>
    </row>
    <row r="10">
      <c r="A10" s="3" t="s">
        <v>64</v>
      </c>
      <c r="B10" s="3" t="s">
        <v>65</v>
      </c>
      <c r="C10" s="3">
        <v>5.0</v>
      </c>
      <c r="D10" s="3">
        <v>5.0</v>
      </c>
      <c r="E10" s="3">
        <v>25.0</v>
      </c>
      <c r="F10" s="3">
        <v>150.0</v>
      </c>
      <c r="G10" s="4" t="str">
        <f t="shared" si="1"/>
        <v>5/5</v>
      </c>
      <c r="H10" s="25">
        <f t="shared" si="2"/>
        <v>0</v>
      </c>
      <c r="I10" s="26"/>
      <c r="J10" s="27" t="str">
        <f>1+#REF!</f>
        <v>#REF!</v>
      </c>
      <c r="K10" s="27" t="str">
        <f>CONCATENATE(J10,". ",B10," - ", G10)</f>
        <v>#REF!</v>
      </c>
    </row>
    <row r="11">
      <c r="A11" s="3" t="s">
        <v>66</v>
      </c>
      <c r="B11" s="3" t="s">
        <v>67</v>
      </c>
      <c r="C11" s="3">
        <v>3.0</v>
      </c>
      <c r="D11" s="3">
        <v>3.0</v>
      </c>
      <c r="E11" s="3">
        <v>12.0</v>
      </c>
      <c r="F11" s="3">
        <v>170.0</v>
      </c>
      <c r="G11" s="29" t="str">
        <f t="shared" si="1"/>
        <v>3/3</v>
      </c>
      <c r="H11" s="3">
        <f t="shared" si="2"/>
        <v>0</v>
      </c>
    </row>
    <row r="12">
      <c r="A12" s="20" t="s">
        <v>33</v>
      </c>
      <c r="B12" s="30"/>
      <c r="C12" s="21">
        <f t="shared" ref="C12:F12" si="4">SUM(C2:C11)</f>
        <v>34</v>
      </c>
      <c r="D12" s="21">
        <f t="shared" si="4"/>
        <v>33</v>
      </c>
      <c r="E12" s="21">
        <f t="shared" si="4"/>
        <v>177</v>
      </c>
      <c r="F12" s="21">
        <f t="shared" si="4"/>
        <v>1799.46</v>
      </c>
      <c r="G12" s="31" t="str">
        <f t="shared" si="1"/>
        <v>33/34</v>
      </c>
      <c r="H12" s="27">
        <f t="shared" si="2"/>
        <v>1</v>
      </c>
    </row>
    <row r="13">
      <c r="G13" s="27"/>
      <c r="H13" s="27"/>
    </row>
    <row r="14">
      <c r="G14" s="27"/>
      <c r="H14" s="27"/>
    </row>
    <row r="15">
      <c r="C15" s="27"/>
      <c r="D15" s="27"/>
      <c r="E15" s="27"/>
      <c r="F15" s="27"/>
      <c r="G15" s="27"/>
      <c r="H15" s="27"/>
    </row>
    <row r="41">
      <c r="D41" s="26">
        <v>13.0</v>
      </c>
    </row>
  </sheetData>
  <mergeCells count="1">
    <mergeCell ref="A12:B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1" max="14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68</v>
      </c>
      <c r="B3" s="3" t="s">
        <v>69</v>
      </c>
      <c r="C3" s="3">
        <v>1.0</v>
      </c>
      <c r="D3" s="3">
        <v>1.0</v>
      </c>
      <c r="E3" s="17">
        <v>3.0</v>
      </c>
      <c r="F3" s="17">
        <v>15.0</v>
      </c>
      <c r="G3" s="17"/>
      <c r="H3" s="17">
        <v>1.0</v>
      </c>
      <c r="I3" s="5" t="str">
        <f t="shared" ref="I3:I9" si="1">CONCATENATE(H3,"/",C3)</f>
        <v>1/1</v>
      </c>
      <c r="J3" s="3">
        <f t="shared" ref="J3:J8" si="2">C3-H3</f>
        <v>0</v>
      </c>
      <c r="L3" s="27" t="str">
        <f t="shared" ref="L3:L5" si="3">1+#REF!</f>
        <v>#REF!</v>
      </c>
      <c r="M3" s="27" t="str">
        <f t="shared" ref="M3:M8" si="4">CONCATENATE(L3,". ",B3," - ",I3)</f>
        <v>#REF!</v>
      </c>
    </row>
    <row r="4">
      <c r="A4" s="3" t="s">
        <v>70</v>
      </c>
      <c r="B4" s="3" t="s">
        <v>71</v>
      </c>
      <c r="C4" s="3">
        <v>1.0</v>
      </c>
      <c r="D4" s="3">
        <v>1.0</v>
      </c>
      <c r="E4" s="17">
        <v>9.0</v>
      </c>
      <c r="F4" s="17">
        <v>20.0</v>
      </c>
      <c r="G4" s="17"/>
      <c r="H4" s="17">
        <v>1.0</v>
      </c>
      <c r="I4" s="5" t="str">
        <f t="shared" si="1"/>
        <v>1/1</v>
      </c>
      <c r="J4" s="3">
        <f t="shared" si="2"/>
        <v>0</v>
      </c>
      <c r="L4" s="27" t="str">
        <f t="shared" si="3"/>
        <v>#REF!</v>
      </c>
      <c r="M4" s="27" t="str">
        <f t="shared" si="4"/>
        <v>#REF!</v>
      </c>
    </row>
    <row r="5">
      <c r="A5" s="3" t="s">
        <v>72</v>
      </c>
      <c r="B5" s="3" t="s">
        <v>73</v>
      </c>
      <c r="C5" s="3">
        <v>4.0</v>
      </c>
      <c r="D5" s="3">
        <v>1.0</v>
      </c>
      <c r="E5" s="17">
        <v>0.0</v>
      </c>
      <c r="F5" s="17">
        <v>0.0</v>
      </c>
      <c r="G5" s="17"/>
      <c r="H5" s="17">
        <v>0.0</v>
      </c>
      <c r="I5" s="5" t="str">
        <f t="shared" si="1"/>
        <v>0/4</v>
      </c>
      <c r="J5" s="3">
        <f t="shared" si="2"/>
        <v>4</v>
      </c>
      <c r="L5" s="27" t="str">
        <f t="shared" si="3"/>
        <v>#REF!</v>
      </c>
      <c r="M5" s="27" t="str">
        <f t="shared" si="4"/>
        <v>#REF!</v>
      </c>
    </row>
    <row r="6">
      <c r="A6" s="3" t="s">
        <v>74</v>
      </c>
      <c r="B6" s="3" t="s">
        <v>75</v>
      </c>
      <c r="C6" s="3">
        <v>2.0</v>
      </c>
      <c r="D6" s="3">
        <v>0.0</v>
      </c>
      <c r="E6" s="17">
        <v>2.0</v>
      </c>
      <c r="F6" s="17">
        <v>10.0</v>
      </c>
      <c r="G6" s="17"/>
      <c r="H6" s="17">
        <v>1.0</v>
      </c>
      <c r="I6" s="5" t="str">
        <f t="shared" si="1"/>
        <v>1/2</v>
      </c>
      <c r="J6" s="3">
        <f t="shared" si="2"/>
        <v>1</v>
      </c>
      <c r="L6" s="27" t="str">
        <f>1+L5</f>
        <v>#REF!</v>
      </c>
      <c r="M6" s="27" t="str">
        <f t="shared" si="4"/>
        <v>#REF!</v>
      </c>
    </row>
    <row r="7">
      <c r="A7" s="3" t="s">
        <v>76</v>
      </c>
      <c r="B7" s="3" t="s">
        <v>77</v>
      </c>
      <c r="C7" s="3">
        <v>1.0</v>
      </c>
      <c r="D7" s="3">
        <v>1.0</v>
      </c>
      <c r="E7" s="17">
        <v>17.0</v>
      </c>
      <c r="F7" s="17">
        <v>125.0</v>
      </c>
      <c r="G7" s="17"/>
      <c r="H7" s="17">
        <v>2.0</v>
      </c>
      <c r="I7" s="5" t="str">
        <f t="shared" si="1"/>
        <v>2/1</v>
      </c>
      <c r="J7" s="3">
        <f t="shared" si="2"/>
        <v>-1</v>
      </c>
      <c r="L7" s="27" t="str">
        <f>1+#REF!</f>
        <v>#REF!</v>
      </c>
      <c r="M7" s="27" t="str">
        <f t="shared" si="4"/>
        <v>#REF!</v>
      </c>
    </row>
    <row r="8">
      <c r="A8" s="3" t="s">
        <v>78</v>
      </c>
      <c r="B8" s="3" t="s">
        <v>79</v>
      </c>
      <c r="C8" s="3">
        <v>5.0</v>
      </c>
      <c r="D8" s="3">
        <v>0.0</v>
      </c>
      <c r="E8" s="17">
        <v>13.0</v>
      </c>
      <c r="F8" s="18">
        <v>77.0</v>
      </c>
      <c r="G8" s="32"/>
      <c r="H8" s="17">
        <v>3.0</v>
      </c>
      <c r="I8" s="5" t="str">
        <f t="shared" si="1"/>
        <v>3/5</v>
      </c>
      <c r="J8" s="3">
        <f t="shared" si="2"/>
        <v>2</v>
      </c>
      <c r="K8" s="33"/>
      <c r="L8" s="27" t="str">
        <f>1+'Jesus Night'!M14</f>
        <v>#REF!</v>
      </c>
      <c r="M8" s="27" t="str">
        <f t="shared" si="4"/>
        <v>#REF!</v>
      </c>
      <c r="N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</row>
    <row r="9">
      <c r="A9" s="20" t="s">
        <v>42</v>
      </c>
      <c r="B9" s="21"/>
      <c r="C9" s="21">
        <f>SUM(C2:C8)</f>
        <v>14</v>
      </c>
      <c r="D9" s="21">
        <f>SUM(D4:D7)</f>
        <v>3</v>
      </c>
      <c r="E9" s="21">
        <f t="shared" ref="E9:H9" si="5">SUM(E2:E8)</f>
        <v>44</v>
      </c>
      <c r="F9" s="22">
        <f t="shared" si="5"/>
        <v>247</v>
      </c>
      <c r="G9" s="21">
        <f t="shared" si="5"/>
        <v>0</v>
      </c>
      <c r="H9" s="21">
        <f t="shared" si="5"/>
        <v>8</v>
      </c>
      <c r="I9" s="23" t="str">
        <f t="shared" si="1"/>
        <v>8/14</v>
      </c>
      <c r="J9" s="21">
        <f>SUM(J4:J7)</f>
        <v>4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</row>
    <row r="10">
      <c r="F10" s="11"/>
    </row>
    <row r="11">
      <c r="F11" s="11"/>
    </row>
    <row r="12">
      <c r="F12" s="11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</sheetData>
  <autoFilter ref="$A$2:$J$9"/>
  <mergeCells count="1">
    <mergeCell ref="A1: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80</v>
      </c>
      <c r="B3" s="3" t="s">
        <v>81</v>
      </c>
      <c r="C3" s="3">
        <v>5.0</v>
      </c>
      <c r="D3" s="3">
        <v>0.0</v>
      </c>
      <c r="E3" s="17">
        <v>22.0</v>
      </c>
      <c r="F3" s="17">
        <v>140.0</v>
      </c>
      <c r="G3" s="17"/>
      <c r="H3" s="17">
        <v>4.0</v>
      </c>
      <c r="I3" s="5" t="str">
        <f t="shared" ref="I3:I7" si="1">CONCATENATE(H3,"/",C3)</f>
        <v>4/5</v>
      </c>
      <c r="J3" s="3">
        <f t="shared" ref="J3:J6" si="2">C3-H3</f>
        <v>1</v>
      </c>
      <c r="L3" s="27" t="str">
        <f>1+'Jesus Night'!M5</f>
        <v>#REF!</v>
      </c>
      <c r="M3" s="27" t="str">
        <f t="shared" ref="M3:M4" si="3">CONCATENATE(L3,". ",B3," - ",I3)</f>
        <v>#REF!</v>
      </c>
    </row>
    <row r="4">
      <c r="A4" s="3" t="s">
        <v>82</v>
      </c>
      <c r="B4" s="3" t="s">
        <v>83</v>
      </c>
      <c r="C4" s="3">
        <v>6.0</v>
      </c>
      <c r="D4" s="3">
        <v>1.0</v>
      </c>
      <c r="E4" s="17">
        <v>24.0</v>
      </c>
      <c r="F4" s="17">
        <v>185.0</v>
      </c>
      <c r="G4" s="17"/>
      <c r="H4" s="17">
        <v>5.0</v>
      </c>
      <c r="I4" s="5" t="str">
        <f t="shared" si="1"/>
        <v>5/6</v>
      </c>
      <c r="J4" s="3">
        <f t="shared" si="2"/>
        <v>1</v>
      </c>
      <c r="L4" s="27" t="str">
        <f>1+L3</f>
        <v>#REF!</v>
      </c>
      <c r="M4" s="27" t="str">
        <f t="shared" si="3"/>
        <v>#REF!</v>
      </c>
    </row>
    <row r="5">
      <c r="A5" s="3" t="s">
        <v>84</v>
      </c>
      <c r="B5" s="3" t="s">
        <v>85</v>
      </c>
      <c r="C5" s="3">
        <v>4.0</v>
      </c>
      <c r="D5" s="3"/>
      <c r="E5" s="17">
        <v>20.0</v>
      </c>
      <c r="F5" s="18">
        <v>85.0</v>
      </c>
      <c r="G5" s="32"/>
      <c r="H5" s="17">
        <v>3.0</v>
      </c>
      <c r="I5" s="5" t="str">
        <f t="shared" si="1"/>
        <v>3/4</v>
      </c>
      <c r="J5" s="3">
        <f t="shared" si="2"/>
        <v>1</v>
      </c>
    </row>
    <row r="6">
      <c r="A6" s="3" t="s">
        <v>86</v>
      </c>
      <c r="B6" s="3" t="s">
        <v>87</v>
      </c>
      <c r="C6" s="3">
        <v>4.0</v>
      </c>
      <c r="D6" s="3">
        <v>6.0</v>
      </c>
      <c r="E6" s="17">
        <v>6.0</v>
      </c>
      <c r="F6" s="18">
        <v>25.0</v>
      </c>
      <c r="G6" s="32"/>
      <c r="H6" s="17">
        <v>1.0</v>
      </c>
      <c r="I6" s="5" t="str">
        <f t="shared" si="1"/>
        <v>1/4</v>
      </c>
      <c r="J6" s="3">
        <f t="shared" si="2"/>
        <v>3</v>
      </c>
      <c r="L6" s="27" t="str">
        <f>1+L4</f>
        <v>#REF!</v>
      </c>
      <c r="M6" s="27" t="str">
        <f>CONCATENATE(L6,". ",B6," - ",I6)</f>
        <v>#REF!</v>
      </c>
    </row>
    <row r="7">
      <c r="A7" s="20" t="s">
        <v>42</v>
      </c>
      <c r="B7" s="21"/>
      <c r="C7" s="21">
        <f t="shared" ref="C7:H7" si="4">SUM(C3:C6)</f>
        <v>19</v>
      </c>
      <c r="D7" s="21">
        <f t="shared" si="4"/>
        <v>7</v>
      </c>
      <c r="E7" s="21">
        <f t="shared" si="4"/>
        <v>72</v>
      </c>
      <c r="F7" s="21">
        <f t="shared" si="4"/>
        <v>435</v>
      </c>
      <c r="G7" s="21">
        <f t="shared" si="4"/>
        <v>0</v>
      </c>
      <c r="H7" s="21">
        <f t="shared" si="4"/>
        <v>13</v>
      </c>
      <c r="I7" s="23" t="str">
        <f t="shared" si="1"/>
        <v>13/19</v>
      </c>
      <c r="J7" s="21">
        <f>SUM(J3:J6)</f>
        <v>6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</row>
    <row r="8">
      <c r="F8" s="11"/>
    </row>
    <row r="9">
      <c r="F9" s="11"/>
    </row>
    <row r="10">
      <c r="F10" s="11"/>
    </row>
    <row r="11">
      <c r="F11" s="11"/>
    </row>
    <row r="12">
      <c r="F12" s="11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</sheetData>
  <autoFilter ref="$A$2:$J$7"/>
  <mergeCells count="1">
    <mergeCell ref="A1: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88</v>
      </c>
      <c r="B3" s="3" t="s">
        <v>89</v>
      </c>
      <c r="C3" s="3">
        <v>9.0</v>
      </c>
      <c r="D3" s="3">
        <v>6.0</v>
      </c>
      <c r="E3" s="3">
        <v>25.0</v>
      </c>
      <c r="F3" s="3">
        <v>276.0</v>
      </c>
      <c r="G3" s="29"/>
      <c r="H3" s="3">
        <v>8.0</v>
      </c>
      <c r="I3" s="5" t="str">
        <f t="shared" ref="I3:I14" si="1">CONCATENATE(H3,"/",C3)</f>
        <v>8/9</v>
      </c>
      <c r="J3" s="3">
        <f t="shared" ref="J3:J13" si="2">C3-H3</f>
        <v>1</v>
      </c>
    </row>
    <row r="4">
      <c r="A4" s="3" t="s">
        <v>90</v>
      </c>
      <c r="B4" s="3" t="s">
        <v>91</v>
      </c>
      <c r="C4" s="3">
        <v>7.0</v>
      </c>
      <c r="D4" s="3">
        <v>5.0</v>
      </c>
      <c r="E4" s="3">
        <v>40.0</v>
      </c>
      <c r="F4" s="3">
        <v>189.0</v>
      </c>
      <c r="G4" s="4"/>
      <c r="H4" s="3">
        <v>7.0</v>
      </c>
      <c r="I4" s="5" t="str">
        <f t="shared" si="1"/>
        <v>7/7</v>
      </c>
      <c r="J4" s="3">
        <f t="shared" si="2"/>
        <v>0</v>
      </c>
    </row>
    <row r="5">
      <c r="A5" s="3" t="s">
        <v>92</v>
      </c>
      <c r="B5" s="3" t="s">
        <v>93</v>
      </c>
      <c r="C5" s="3">
        <v>2.0</v>
      </c>
      <c r="D5" s="3">
        <v>1.0</v>
      </c>
      <c r="E5" s="17">
        <v>8.0</v>
      </c>
      <c r="F5" s="17">
        <v>42.0</v>
      </c>
      <c r="G5" s="17"/>
      <c r="H5" s="17">
        <v>2.0</v>
      </c>
      <c r="I5" s="5" t="str">
        <f t="shared" si="1"/>
        <v>2/2</v>
      </c>
      <c r="J5" s="3">
        <f t="shared" si="2"/>
        <v>0</v>
      </c>
      <c r="L5" s="26">
        <v>1.0</v>
      </c>
      <c r="M5" s="27" t="str">
        <f>CONCATENATE(L5,". ",B5," - ",I5)</f>
        <v>1. Samuel Tigah - 2/2</v>
      </c>
    </row>
    <row r="6">
      <c r="A6" s="3" t="s">
        <v>94</v>
      </c>
      <c r="B6" s="3" t="s">
        <v>95</v>
      </c>
      <c r="C6" s="3">
        <v>2.0</v>
      </c>
      <c r="D6" s="3"/>
      <c r="E6" s="17">
        <v>8.0</v>
      </c>
      <c r="F6" s="17">
        <v>60.0</v>
      </c>
      <c r="G6" s="17"/>
      <c r="H6" s="17">
        <v>2.0</v>
      </c>
      <c r="I6" s="5" t="str">
        <f t="shared" si="1"/>
        <v>2/2</v>
      </c>
      <c r="J6" s="3">
        <f t="shared" si="2"/>
        <v>0</v>
      </c>
      <c r="L6" s="26"/>
    </row>
    <row r="7">
      <c r="A7" s="3" t="s">
        <v>96</v>
      </c>
      <c r="B7" s="3" t="s">
        <v>97</v>
      </c>
      <c r="C7" s="3">
        <v>4.0</v>
      </c>
      <c r="D7" s="3"/>
      <c r="E7" s="17">
        <v>17.0</v>
      </c>
      <c r="F7" s="17">
        <v>75.0</v>
      </c>
      <c r="G7" s="17"/>
      <c r="H7" s="17">
        <v>3.0</v>
      </c>
      <c r="I7" s="5" t="str">
        <f t="shared" si="1"/>
        <v>3/4</v>
      </c>
      <c r="J7" s="3">
        <f t="shared" si="2"/>
        <v>1</v>
      </c>
      <c r="L7" s="26"/>
    </row>
    <row r="8">
      <c r="A8" s="3" t="s">
        <v>98</v>
      </c>
      <c r="B8" s="3" t="s">
        <v>99</v>
      </c>
      <c r="C8" s="3">
        <v>4.0</v>
      </c>
      <c r="D8" s="3"/>
      <c r="E8" s="17">
        <v>19.0</v>
      </c>
      <c r="F8" s="17">
        <v>40.0</v>
      </c>
      <c r="G8" s="17"/>
      <c r="H8" s="17">
        <v>4.0</v>
      </c>
      <c r="I8" s="5" t="str">
        <f t="shared" si="1"/>
        <v>4/4</v>
      </c>
      <c r="J8" s="3">
        <f t="shared" si="2"/>
        <v>0</v>
      </c>
      <c r="L8" s="26"/>
    </row>
    <row r="9">
      <c r="A9" s="3" t="s">
        <v>100</v>
      </c>
      <c r="B9" s="3" t="s">
        <v>101</v>
      </c>
      <c r="C9" s="3">
        <v>3.0</v>
      </c>
      <c r="D9" s="3"/>
      <c r="E9" s="17">
        <v>13.0</v>
      </c>
      <c r="F9" s="17">
        <v>85.0</v>
      </c>
      <c r="G9" s="17"/>
      <c r="H9" s="17">
        <v>2.0</v>
      </c>
      <c r="I9" s="5" t="str">
        <f t="shared" si="1"/>
        <v>2/3</v>
      </c>
      <c r="J9" s="3">
        <f t="shared" si="2"/>
        <v>1</v>
      </c>
      <c r="L9" s="26"/>
    </row>
    <row r="10">
      <c r="A10" s="3" t="s">
        <v>102</v>
      </c>
      <c r="B10" s="3" t="s">
        <v>103</v>
      </c>
      <c r="C10" s="3">
        <v>5.0</v>
      </c>
      <c r="D10" s="3">
        <v>1.0</v>
      </c>
      <c r="E10" s="17">
        <v>11.0</v>
      </c>
      <c r="F10" s="17">
        <v>125.0</v>
      </c>
      <c r="G10" s="17"/>
      <c r="H10" s="17">
        <v>2.0</v>
      </c>
      <c r="I10" s="5" t="str">
        <f t="shared" si="1"/>
        <v>2/5</v>
      </c>
      <c r="J10" s="3">
        <f t="shared" si="2"/>
        <v>3</v>
      </c>
      <c r="L10" s="26">
        <v>1.0</v>
      </c>
      <c r="M10" s="27" t="str">
        <f t="shared" ref="M10:M13" si="3">CONCATENATE(L10,". ",B10," - ",I10)</f>
        <v>1. Lawrence Adetunji - 2/5</v>
      </c>
    </row>
    <row r="11">
      <c r="A11" s="3" t="s">
        <v>104</v>
      </c>
      <c r="B11" s="3" t="s">
        <v>105</v>
      </c>
      <c r="C11" s="3">
        <v>5.0</v>
      </c>
      <c r="D11" s="3">
        <v>1.0</v>
      </c>
      <c r="E11" s="3">
        <v>26.0</v>
      </c>
      <c r="F11" s="34">
        <v>160.0</v>
      </c>
      <c r="G11" s="35"/>
      <c r="H11" s="35">
        <v>5.0</v>
      </c>
      <c r="I11" s="5" t="str">
        <f t="shared" si="1"/>
        <v>5/5</v>
      </c>
      <c r="J11" s="3">
        <f t="shared" si="2"/>
        <v>0</v>
      </c>
      <c r="L11" s="27">
        <f t="shared" ref="L11:L13" si="4">1+L10</f>
        <v>2</v>
      </c>
      <c r="M11" s="27" t="str">
        <f t="shared" si="3"/>
        <v>2. Prince Forson - 5/5</v>
      </c>
    </row>
    <row r="12">
      <c r="A12" s="3" t="s">
        <v>106</v>
      </c>
      <c r="B12" s="3" t="s">
        <v>107</v>
      </c>
      <c r="C12" s="3">
        <v>3.0</v>
      </c>
      <c r="D12" s="3">
        <v>1.0</v>
      </c>
      <c r="E12" s="17">
        <v>13.0</v>
      </c>
      <c r="F12" s="17">
        <v>152.0</v>
      </c>
      <c r="G12" s="17"/>
      <c r="H12" s="17">
        <v>2.0</v>
      </c>
      <c r="I12" s="5" t="str">
        <f t="shared" si="1"/>
        <v>2/3</v>
      </c>
      <c r="J12" s="3">
        <f t="shared" si="2"/>
        <v>1</v>
      </c>
      <c r="L12" s="27">
        <f t="shared" si="4"/>
        <v>3</v>
      </c>
      <c r="M12" s="27" t="str">
        <f t="shared" si="3"/>
        <v>3. Richard Manu - 2/3</v>
      </c>
    </row>
    <row r="13">
      <c r="A13" s="36" t="s">
        <v>108</v>
      </c>
      <c r="B13" s="36" t="s">
        <v>11</v>
      </c>
      <c r="C13" s="3">
        <v>6.0</v>
      </c>
      <c r="D13" s="37"/>
      <c r="E13" s="3">
        <v>32.0</v>
      </c>
      <c r="F13" s="18">
        <v>308.0</v>
      </c>
      <c r="G13" s="38"/>
      <c r="H13" s="3">
        <v>4.0</v>
      </c>
      <c r="I13" s="5" t="str">
        <f t="shared" si="1"/>
        <v>4/6</v>
      </c>
      <c r="J13" s="3">
        <f t="shared" si="2"/>
        <v>2</v>
      </c>
      <c r="L13" s="27">
        <f t="shared" si="4"/>
        <v>4</v>
      </c>
      <c r="M13" s="27" t="str">
        <f t="shared" si="3"/>
        <v>4. Michael Oteng - 4/6</v>
      </c>
    </row>
    <row r="14">
      <c r="A14" s="20" t="s">
        <v>42</v>
      </c>
      <c r="B14" s="21"/>
      <c r="C14" s="21">
        <f>SUM(C2:C13)</f>
        <v>50</v>
      </c>
      <c r="D14" s="21">
        <f>SUM(D10:D13)</f>
        <v>3</v>
      </c>
      <c r="E14" s="21">
        <f t="shared" ref="E14:H14" si="5">SUM(E2:E13)</f>
        <v>212</v>
      </c>
      <c r="F14" s="22">
        <f t="shared" si="5"/>
        <v>1512</v>
      </c>
      <c r="G14" s="21">
        <f t="shared" si="5"/>
        <v>0</v>
      </c>
      <c r="H14" s="21">
        <f t="shared" si="5"/>
        <v>41</v>
      </c>
      <c r="I14" s="23" t="str">
        <f t="shared" si="1"/>
        <v>41/50</v>
      </c>
      <c r="J14" s="21">
        <f>SUM(J2:J13)</f>
        <v>9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  <row r="922">
      <c r="F922" s="11"/>
    </row>
  </sheetData>
  <autoFilter ref="$A$2:$J$14"/>
  <mergeCells count="1">
    <mergeCell ref="A1:F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1" width="12.63"/>
    <col customWidth="1" min="2" max="4" width="22.88"/>
    <col hidden="1" min="6" max="6" width="12.63"/>
    <col customWidth="1" min="7" max="8" width="17.25"/>
    <col customWidth="1" min="9" max="9" width="24.25"/>
  </cols>
  <sheetData>
    <row r="1">
      <c r="A1" s="1" t="s">
        <v>35</v>
      </c>
      <c r="B1" s="1" t="s">
        <v>43</v>
      </c>
      <c r="C1" s="1" t="s">
        <v>44</v>
      </c>
      <c r="D1" s="1" t="s">
        <v>45</v>
      </c>
      <c r="E1" s="1" t="s">
        <v>46</v>
      </c>
      <c r="F1" s="2" t="s">
        <v>47</v>
      </c>
      <c r="G1" s="2" t="s">
        <v>109</v>
      </c>
      <c r="H1" s="2" t="s">
        <v>48</v>
      </c>
      <c r="I1" s="1" t="s">
        <v>49</v>
      </c>
    </row>
    <row r="2">
      <c r="A2" s="3">
        <v>1.0</v>
      </c>
      <c r="B2" s="3" t="s">
        <v>110</v>
      </c>
      <c r="C2" s="3">
        <v>5.0</v>
      </c>
      <c r="D2" s="3">
        <v>5.0</v>
      </c>
      <c r="E2" s="3">
        <v>33.0</v>
      </c>
      <c r="F2" s="4"/>
      <c r="G2" s="4">
        <v>990.0</v>
      </c>
      <c r="H2" s="4" t="str">
        <f t="shared" ref="H2:H17" si="1">CONCATENATE(D2,"/",C2)</f>
        <v>5/5</v>
      </c>
      <c r="I2" s="25">
        <f t="shared" ref="I2:I13" si="2">C2-D2</f>
        <v>0</v>
      </c>
    </row>
    <row r="3">
      <c r="A3" s="3">
        <f t="shared" ref="A3:A15" si="3">1+A2</f>
        <v>2</v>
      </c>
      <c r="B3" s="3" t="s">
        <v>111</v>
      </c>
      <c r="C3" s="3">
        <v>10.0</v>
      </c>
      <c r="D3" s="3">
        <v>5.0</v>
      </c>
      <c r="E3" s="3">
        <v>26.0</v>
      </c>
      <c r="F3" s="4"/>
      <c r="G3" s="4">
        <v>580.0</v>
      </c>
      <c r="H3" s="4" t="str">
        <f t="shared" si="1"/>
        <v>5/10</v>
      </c>
      <c r="I3" s="25">
        <f t="shared" si="2"/>
        <v>5</v>
      </c>
    </row>
    <row r="4">
      <c r="A4" s="3">
        <f t="shared" si="3"/>
        <v>3</v>
      </c>
      <c r="B4" s="3" t="s">
        <v>112</v>
      </c>
      <c r="C4" s="3">
        <v>1.0</v>
      </c>
      <c r="D4" s="3">
        <v>1.0</v>
      </c>
      <c r="E4" s="3">
        <v>16.0</v>
      </c>
      <c r="F4" s="4"/>
      <c r="G4" s="4">
        <v>531.0</v>
      </c>
      <c r="H4" s="4" t="str">
        <f t="shared" si="1"/>
        <v>1/1</v>
      </c>
      <c r="I4" s="25">
        <f t="shared" si="2"/>
        <v>0</v>
      </c>
    </row>
    <row r="5">
      <c r="A5" s="3">
        <f t="shared" si="3"/>
        <v>4</v>
      </c>
      <c r="B5" s="3" t="s">
        <v>113</v>
      </c>
      <c r="C5" s="3">
        <v>4.0</v>
      </c>
      <c r="D5" s="3">
        <v>3.0</v>
      </c>
      <c r="E5" s="3">
        <v>15.0</v>
      </c>
      <c r="F5" s="4"/>
      <c r="G5" s="4">
        <v>586.5</v>
      </c>
      <c r="H5" s="4" t="str">
        <f t="shared" si="1"/>
        <v>3/4</v>
      </c>
      <c r="I5" s="25">
        <f t="shared" si="2"/>
        <v>1</v>
      </c>
    </row>
    <row r="6">
      <c r="A6" s="3">
        <f t="shared" si="3"/>
        <v>5</v>
      </c>
      <c r="B6" s="3" t="s">
        <v>114</v>
      </c>
      <c r="C6" s="3">
        <v>5.0</v>
      </c>
      <c r="D6" s="3">
        <v>1.0</v>
      </c>
      <c r="E6" s="3">
        <v>3.0</v>
      </c>
      <c r="F6" s="4"/>
      <c r="G6" s="4">
        <v>120.0</v>
      </c>
      <c r="H6" s="4" t="str">
        <f t="shared" si="1"/>
        <v>1/5</v>
      </c>
      <c r="I6" s="25">
        <f t="shared" si="2"/>
        <v>4</v>
      </c>
      <c r="J6" s="26"/>
    </row>
    <row r="7">
      <c r="A7" s="3">
        <f t="shared" si="3"/>
        <v>6</v>
      </c>
      <c r="B7" s="3" t="s">
        <v>115</v>
      </c>
      <c r="C7" s="3">
        <v>5.0</v>
      </c>
      <c r="D7" s="3">
        <v>4.0</v>
      </c>
      <c r="E7" s="3">
        <v>23.0</v>
      </c>
      <c r="F7" s="4"/>
      <c r="G7" s="4">
        <v>520.0</v>
      </c>
      <c r="H7" s="4" t="str">
        <f t="shared" si="1"/>
        <v>4/5</v>
      </c>
      <c r="I7" s="25">
        <f t="shared" si="2"/>
        <v>1</v>
      </c>
    </row>
    <row r="8">
      <c r="A8" s="3">
        <f t="shared" si="3"/>
        <v>7</v>
      </c>
      <c r="B8" s="3" t="s">
        <v>116</v>
      </c>
      <c r="C8" s="3">
        <v>5.0</v>
      </c>
      <c r="D8" s="3">
        <v>5.0</v>
      </c>
      <c r="E8" s="3">
        <v>24.0</v>
      </c>
      <c r="F8" s="4"/>
      <c r="G8" s="4">
        <v>552.0</v>
      </c>
      <c r="H8" s="4" t="str">
        <f t="shared" si="1"/>
        <v>5/5</v>
      </c>
      <c r="I8" s="25">
        <f t="shared" si="2"/>
        <v>0</v>
      </c>
    </row>
    <row r="9">
      <c r="A9" s="3">
        <f t="shared" si="3"/>
        <v>8</v>
      </c>
      <c r="B9" s="3" t="s">
        <v>117</v>
      </c>
      <c r="C9" s="3">
        <v>3.0</v>
      </c>
      <c r="D9" s="3">
        <v>3.0</v>
      </c>
      <c r="E9" s="3">
        <v>19.0</v>
      </c>
      <c r="F9" s="4"/>
      <c r="G9" s="4">
        <v>293.0</v>
      </c>
      <c r="H9" s="4" t="str">
        <f t="shared" si="1"/>
        <v>3/3</v>
      </c>
      <c r="I9" s="25">
        <f t="shared" si="2"/>
        <v>0</v>
      </c>
    </row>
    <row r="10">
      <c r="A10" s="3">
        <f t="shared" si="3"/>
        <v>9</v>
      </c>
      <c r="B10" s="3" t="s">
        <v>118</v>
      </c>
      <c r="C10" s="3">
        <v>8.0</v>
      </c>
      <c r="D10" s="3">
        <v>2.0</v>
      </c>
      <c r="E10" s="3">
        <v>12.0</v>
      </c>
      <c r="F10" s="4"/>
      <c r="G10" s="4">
        <v>165.0</v>
      </c>
      <c r="H10" s="4" t="str">
        <f t="shared" si="1"/>
        <v>2/8</v>
      </c>
      <c r="I10" s="25">
        <f t="shared" si="2"/>
        <v>6</v>
      </c>
    </row>
    <row r="11">
      <c r="A11" s="3">
        <f t="shared" si="3"/>
        <v>10</v>
      </c>
      <c r="B11" s="3" t="s">
        <v>119</v>
      </c>
      <c r="C11" s="3">
        <v>5.0</v>
      </c>
      <c r="D11" s="3">
        <v>3.0</v>
      </c>
      <c r="E11" s="3">
        <v>19.0</v>
      </c>
      <c r="F11" s="4"/>
      <c r="G11" s="4">
        <v>203.0</v>
      </c>
      <c r="H11" s="4" t="str">
        <f t="shared" si="1"/>
        <v>3/5</v>
      </c>
      <c r="I11" s="25">
        <f t="shared" si="2"/>
        <v>2</v>
      </c>
    </row>
    <row r="12">
      <c r="A12" s="3">
        <f t="shared" si="3"/>
        <v>11</v>
      </c>
      <c r="B12" s="3" t="s">
        <v>120</v>
      </c>
      <c r="C12" s="3">
        <v>5.0</v>
      </c>
      <c r="D12" s="3">
        <v>5.0</v>
      </c>
      <c r="E12" s="3">
        <v>23.0</v>
      </c>
      <c r="F12" s="4"/>
      <c r="G12" s="4">
        <v>3147.0</v>
      </c>
      <c r="H12" s="4" t="str">
        <f t="shared" si="1"/>
        <v>5/5</v>
      </c>
      <c r="I12" s="25">
        <f t="shared" si="2"/>
        <v>0</v>
      </c>
    </row>
    <row r="13">
      <c r="A13" s="3">
        <f t="shared" si="3"/>
        <v>12</v>
      </c>
      <c r="B13" s="3" t="s">
        <v>121</v>
      </c>
      <c r="C13" s="3">
        <v>4.0</v>
      </c>
      <c r="D13" s="3">
        <v>3.0</v>
      </c>
      <c r="E13" s="3">
        <v>18.0</v>
      </c>
      <c r="F13" s="4"/>
      <c r="G13" s="4">
        <v>825.0</v>
      </c>
      <c r="H13" s="29" t="str">
        <f t="shared" si="1"/>
        <v>3/4</v>
      </c>
      <c r="I13" s="25">
        <f t="shared" si="2"/>
        <v>1</v>
      </c>
      <c r="J13" s="26"/>
    </row>
    <row r="14">
      <c r="A14" s="3">
        <f t="shared" si="3"/>
        <v>13</v>
      </c>
      <c r="B14" s="3" t="s">
        <v>122</v>
      </c>
      <c r="C14" s="3">
        <v>3.0</v>
      </c>
      <c r="D14" s="3">
        <v>3.0</v>
      </c>
      <c r="E14" s="3">
        <v>16.0</v>
      </c>
      <c r="F14" s="4"/>
      <c r="G14" s="4">
        <v>204.0</v>
      </c>
      <c r="H14" s="29" t="str">
        <f t="shared" si="1"/>
        <v>3/3</v>
      </c>
      <c r="I14" s="3">
        <v>0.0</v>
      </c>
      <c r="J14" s="26"/>
    </row>
    <row r="15">
      <c r="A15" s="3">
        <f t="shared" si="3"/>
        <v>14</v>
      </c>
      <c r="B15" s="3" t="s">
        <v>123</v>
      </c>
      <c r="C15" s="3">
        <v>3.0</v>
      </c>
      <c r="D15" s="3">
        <v>3.0</v>
      </c>
      <c r="E15" s="3">
        <v>14.0</v>
      </c>
      <c r="F15" s="4"/>
      <c r="G15" s="4">
        <v>331.0</v>
      </c>
      <c r="H15" s="29" t="str">
        <f t="shared" si="1"/>
        <v>3/3</v>
      </c>
      <c r="I15" s="3">
        <v>0.0</v>
      </c>
      <c r="J15" s="26"/>
    </row>
    <row r="16" hidden="1">
      <c r="A16" s="20" t="s">
        <v>33</v>
      </c>
      <c r="B16" s="30"/>
      <c r="C16" s="20">
        <v>67.0</v>
      </c>
      <c r="D16" s="20"/>
      <c r="E16" s="21"/>
      <c r="F16" s="21"/>
      <c r="G16" s="31"/>
      <c r="H16" s="31" t="str">
        <f t="shared" si="1"/>
        <v>/67</v>
      </c>
    </row>
    <row r="17">
      <c r="A17" s="39"/>
      <c r="B17" s="39"/>
      <c r="C17" s="39">
        <f t="shared" ref="C17:G17" si="4">SUM(C2:C15)</f>
        <v>66</v>
      </c>
      <c r="D17" s="39">
        <f t="shared" si="4"/>
        <v>46</v>
      </c>
      <c r="E17" s="39">
        <f t="shared" si="4"/>
        <v>261</v>
      </c>
      <c r="F17" s="40">
        <f t="shared" si="4"/>
        <v>0</v>
      </c>
      <c r="G17" s="40">
        <f t="shared" si="4"/>
        <v>9047.5</v>
      </c>
      <c r="H17" s="41" t="str">
        <f t="shared" si="1"/>
        <v>46/66</v>
      </c>
      <c r="I17" s="39">
        <f>SUM(I2:I13)</f>
        <v>20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</sheetData>
  <mergeCells count="1">
    <mergeCell ref="A16:B1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hidden="1" min="2" max="7" width="12.63"/>
    <col hidden="1" min="9" max="10" width="12.63"/>
    <col customWidth="1" min="11" max="11" width="14.63"/>
    <col customWidth="1" min="13" max="13" width="15.38"/>
  </cols>
  <sheetData>
    <row r="1">
      <c r="A1" s="26" t="s">
        <v>43</v>
      </c>
      <c r="C1" s="26" t="s">
        <v>124</v>
      </c>
      <c r="G1" s="26" t="s">
        <v>125</v>
      </c>
      <c r="H1" s="26" t="s">
        <v>125</v>
      </c>
      <c r="L1" s="26" t="s">
        <v>126</v>
      </c>
      <c r="N1" s="26" t="s">
        <v>127</v>
      </c>
    </row>
    <row r="2">
      <c r="A2" s="26"/>
      <c r="C2" s="42" t="s">
        <v>128</v>
      </c>
      <c r="E2" s="42" t="s">
        <v>129</v>
      </c>
      <c r="G2" s="43" t="s">
        <v>128</v>
      </c>
      <c r="H2" s="43" t="s">
        <v>130</v>
      </c>
      <c r="I2" s="43" t="s">
        <v>130</v>
      </c>
      <c r="J2" s="26" t="s">
        <v>131</v>
      </c>
      <c r="K2" s="43" t="s">
        <v>132</v>
      </c>
      <c r="L2" s="44" t="s">
        <v>130</v>
      </c>
      <c r="M2" s="44" t="s">
        <v>132</v>
      </c>
      <c r="N2" s="45" t="s">
        <v>133</v>
      </c>
      <c r="O2" s="45" t="s">
        <v>132</v>
      </c>
    </row>
    <row r="3">
      <c r="A3" s="26" t="s">
        <v>111</v>
      </c>
      <c r="B3" s="42">
        <f>121</f>
        <v>121</v>
      </c>
      <c r="C3" s="42">
        <f t="shared" ref="C3:C14" si="1">B3/100</f>
        <v>1.21</v>
      </c>
      <c r="D3" s="42">
        <v>450.0</v>
      </c>
      <c r="E3" s="42">
        <f t="shared" ref="E3:E14" si="2">D3/100</f>
        <v>4.5</v>
      </c>
      <c r="F3" s="46">
        <v>471.0</v>
      </c>
      <c r="G3" s="47">
        <f t="shared" ref="G3:G14" si="3">F3/100</f>
        <v>4.71</v>
      </c>
      <c r="H3" s="43">
        <v>870.0</v>
      </c>
      <c r="I3" s="43">
        <f t="shared" ref="I3:I14" si="4">H3/100</f>
        <v>8.7</v>
      </c>
      <c r="K3" s="43">
        <v>4.0</v>
      </c>
      <c r="L3" s="44">
        <v>660.0</v>
      </c>
      <c r="M3" s="44">
        <v>4.0</v>
      </c>
      <c r="N3" s="45">
        <v>650.0</v>
      </c>
      <c r="O3" s="45">
        <v>3.0</v>
      </c>
    </row>
    <row r="4">
      <c r="A4" s="26" t="s">
        <v>110</v>
      </c>
      <c r="B4" s="42">
        <f>439</f>
        <v>439</v>
      </c>
      <c r="C4" s="42">
        <f t="shared" si="1"/>
        <v>4.39</v>
      </c>
      <c r="D4" s="42">
        <v>600.0</v>
      </c>
      <c r="E4" s="42">
        <f t="shared" si="2"/>
        <v>6</v>
      </c>
      <c r="F4" s="43">
        <v>367.5</v>
      </c>
      <c r="G4" s="47">
        <f t="shared" si="3"/>
        <v>3.675</v>
      </c>
      <c r="H4" s="43">
        <v>900.0</v>
      </c>
      <c r="I4" s="43">
        <f t="shared" si="4"/>
        <v>9</v>
      </c>
      <c r="K4" s="43">
        <v>3.0</v>
      </c>
      <c r="L4" s="44">
        <v>900.0</v>
      </c>
      <c r="M4" s="44">
        <v>3.0</v>
      </c>
      <c r="N4" s="45">
        <v>600.0</v>
      </c>
      <c r="O4" s="45">
        <v>2.0</v>
      </c>
    </row>
    <row r="5">
      <c r="A5" s="26" t="s">
        <v>134</v>
      </c>
      <c r="B5" s="48">
        <v>41.0</v>
      </c>
      <c r="C5" s="42">
        <f t="shared" si="1"/>
        <v>0.41</v>
      </c>
      <c r="D5" s="42">
        <v>150.0</v>
      </c>
      <c r="E5" s="42">
        <f t="shared" si="2"/>
        <v>1.5</v>
      </c>
      <c r="F5" s="43">
        <v>2525.0</v>
      </c>
      <c r="G5" s="47">
        <f t="shared" si="3"/>
        <v>25.25</v>
      </c>
      <c r="H5" s="43">
        <v>150.0</v>
      </c>
      <c r="I5" s="43">
        <f t="shared" si="4"/>
        <v>1.5</v>
      </c>
      <c r="K5" s="43">
        <v>1.0</v>
      </c>
      <c r="L5" s="44">
        <v>0.0</v>
      </c>
      <c r="M5" s="44">
        <v>1.0</v>
      </c>
      <c r="N5" s="45">
        <v>150.0</v>
      </c>
      <c r="O5" s="45">
        <v>1.0</v>
      </c>
    </row>
    <row r="6">
      <c r="A6" s="26" t="s">
        <v>135</v>
      </c>
      <c r="B6" s="42">
        <v>1915.5</v>
      </c>
      <c r="C6" s="42">
        <f t="shared" si="1"/>
        <v>19.155</v>
      </c>
      <c r="D6" s="42">
        <v>770.0</v>
      </c>
      <c r="E6" s="42">
        <f t="shared" si="2"/>
        <v>7.7</v>
      </c>
      <c r="F6" s="43">
        <v>806.0</v>
      </c>
      <c r="G6" s="47">
        <f t="shared" si="3"/>
        <v>8.06</v>
      </c>
      <c r="H6" s="43">
        <v>1000.0</v>
      </c>
      <c r="I6" s="43">
        <f t="shared" si="4"/>
        <v>10</v>
      </c>
      <c r="K6" s="43">
        <v>5.0</v>
      </c>
      <c r="L6" s="44">
        <v>900.0</v>
      </c>
      <c r="M6" s="44">
        <v>5.0</v>
      </c>
      <c r="N6" s="45">
        <v>900.0</v>
      </c>
      <c r="O6" s="45">
        <v>5.0</v>
      </c>
    </row>
    <row r="7">
      <c r="A7" s="26" t="s">
        <v>136</v>
      </c>
      <c r="B7" s="42">
        <v>93.5</v>
      </c>
      <c r="C7" s="42">
        <f t="shared" si="1"/>
        <v>0.935</v>
      </c>
      <c r="D7" s="42">
        <v>250.0</v>
      </c>
      <c r="E7" s="42">
        <f t="shared" si="2"/>
        <v>2.5</v>
      </c>
      <c r="F7" s="43">
        <v>166.0</v>
      </c>
      <c r="G7" s="47">
        <f t="shared" si="3"/>
        <v>1.66</v>
      </c>
      <c r="H7" s="43">
        <v>200.0</v>
      </c>
      <c r="I7" s="43">
        <f t="shared" si="4"/>
        <v>2</v>
      </c>
      <c r="K7" s="43">
        <v>1.0</v>
      </c>
      <c r="L7" s="44">
        <v>200.0</v>
      </c>
      <c r="M7" s="44">
        <v>1.0</v>
      </c>
      <c r="N7" s="45">
        <v>200.0</v>
      </c>
      <c r="O7" s="45">
        <v>1.0</v>
      </c>
    </row>
    <row r="8">
      <c r="A8" s="26" t="s">
        <v>115</v>
      </c>
      <c r="B8" s="42">
        <v>1502.0</v>
      </c>
      <c r="C8" s="42">
        <f t="shared" si="1"/>
        <v>15.02</v>
      </c>
      <c r="D8" s="42">
        <v>500.0</v>
      </c>
      <c r="E8" s="42">
        <f t="shared" si="2"/>
        <v>5</v>
      </c>
      <c r="F8" s="43">
        <v>102.0</v>
      </c>
      <c r="G8" s="47">
        <f t="shared" si="3"/>
        <v>1.02</v>
      </c>
      <c r="H8" s="43">
        <v>500.0</v>
      </c>
      <c r="I8" s="43">
        <f t="shared" si="4"/>
        <v>5</v>
      </c>
      <c r="K8" s="43">
        <v>2.0</v>
      </c>
      <c r="L8" s="44">
        <v>500.0</v>
      </c>
      <c r="M8" s="44">
        <v>3.0</v>
      </c>
      <c r="N8" s="45">
        <v>380.0</v>
      </c>
      <c r="O8" s="45">
        <v>2.0</v>
      </c>
    </row>
    <row r="9">
      <c r="A9" s="26" t="s">
        <v>137</v>
      </c>
      <c r="B9" s="42">
        <v>230.0</v>
      </c>
      <c r="C9" s="42">
        <f t="shared" si="1"/>
        <v>2.3</v>
      </c>
      <c r="D9" s="42">
        <v>450.0</v>
      </c>
      <c r="E9" s="42">
        <f t="shared" si="2"/>
        <v>4.5</v>
      </c>
      <c r="F9" s="43">
        <v>243.0</v>
      </c>
      <c r="G9" s="47">
        <f t="shared" si="3"/>
        <v>2.43</v>
      </c>
      <c r="H9" s="43">
        <v>930.0</v>
      </c>
      <c r="I9" s="43">
        <f t="shared" si="4"/>
        <v>9.3</v>
      </c>
      <c r="K9" s="43">
        <v>4.0</v>
      </c>
      <c r="L9" s="44">
        <v>680.0</v>
      </c>
      <c r="M9" s="44">
        <v>3.0</v>
      </c>
      <c r="N9" s="45">
        <v>700.0</v>
      </c>
      <c r="O9" s="45">
        <v>3.0</v>
      </c>
    </row>
    <row r="10">
      <c r="A10" s="26" t="s">
        <v>119</v>
      </c>
      <c r="B10" s="42">
        <v>200.5</v>
      </c>
      <c r="C10" s="42">
        <f t="shared" si="1"/>
        <v>2.005</v>
      </c>
      <c r="D10" s="42">
        <v>0.0</v>
      </c>
      <c r="E10" s="42">
        <f t="shared" si="2"/>
        <v>0</v>
      </c>
      <c r="F10" s="43">
        <v>222.2</v>
      </c>
      <c r="G10" s="47">
        <f t="shared" si="3"/>
        <v>2.222</v>
      </c>
      <c r="H10" s="43">
        <v>200.0</v>
      </c>
      <c r="I10" s="43">
        <f t="shared" si="4"/>
        <v>2</v>
      </c>
      <c r="K10" s="43">
        <v>1.0</v>
      </c>
      <c r="L10" s="44">
        <v>200.0</v>
      </c>
      <c r="M10" s="44">
        <v>1.0</v>
      </c>
      <c r="N10" s="45">
        <v>200.0</v>
      </c>
      <c r="O10" s="45">
        <v>1.0</v>
      </c>
    </row>
    <row r="11">
      <c r="A11" s="26" t="s">
        <v>138</v>
      </c>
      <c r="B11" s="42">
        <v>65.0</v>
      </c>
      <c r="C11" s="42">
        <f t="shared" si="1"/>
        <v>0.65</v>
      </c>
      <c r="D11" s="42">
        <v>0.0</v>
      </c>
      <c r="E11" s="42">
        <f t="shared" si="2"/>
        <v>0</v>
      </c>
      <c r="F11" s="43">
        <v>300.0</v>
      </c>
      <c r="G11" s="47">
        <f t="shared" si="3"/>
        <v>3</v>
      </c>
      <c r="H11" s="43">
        <v>250.0</v>
      </c>
      <c r="I11" s="43">
        <f t="shared" si="4"/>
        <v>2.5</v>
      </c>
      <c r="K11" s="43">
        <v>2.0</v>
      </c>
      <c r="L11" s="44">
        <v>490.0</v>
      </c>
      <c r="M11" s="44">
        <v>2.0</v>
      </c>
      <c r="N11" s="45">
        <v>420.0</v>
      </c>
      <c r="O11" s="45">
        <v>2.0</v>
      </c>
    </row>
    <row r="12">
      <c r="A12" s="26" t="s">
        <v>120</v>
      </c>
      <c r="B12" s="42">
        <v>352.0</v>
      </c>
      <c r="C12" s="42">
        <f t="shared" si="1"/>
        <v>3.52</v>
      </c>
      <c r="D12" s="42">
        <v>0.0</v>
      </c>
      <c r="E12" s="42">
        <f t="shared" si="2"/>
        <v>0</v>
      </c>
      <c r="F12" s="43">
        <v>237.0</v>
      </c>
      <c r="G12" s="47">
        <f t="shared" si="3"/>
        <v>2.37</v>
      </c>
      <c r="H12" s="43">
        <v>80.0</v>
      </c>
      <c r="I12" s="43">
        <f t="shared" si="4"/>
        <v>0.8</v>
      </c>
      <c r="K12" s="43">
        <v>1.0</v>
      </c>
      <c r="L12" s="44">
        <v>80.0</v>
      </c>
      <c r="M12" s="44">
        <v>2.0</v>
      </c>
      <c r="N12" s="45">
        <v>20.0</v>
      </c>
      <c r="O12" s="45">
        <v>1.0</v>
      </c>
    </row>
    <row r="13">
      <c r="A13" s="26" t="s">
        <v>121</v>
      </c>
      <c r="B13" s="42">
        <v>325.0</v>
      </c>
      <c r="C13" s="42">
        <f t="shared" si="1"/>
        <v>3.25</v>
      </c>
      <c r="D13" s="42">
        <v>780.0</v>
      </c>
      <c r="E13" s="42">
        <f t="shared" si="2"/>
        <v>7.8</v>
      </c>
      <c r="F13" s="43">
        <v>265.0</v>
      </c>
      <c r="G13" s="47">
        <f t="shared" si="3"/>
        <v>2.65</v>
      </c>
      <c r="H13" s="43">
        <v>780.0</v>
      </c>
      <c r="I13" s="43">
        <f t="shared" si="4"/>
        <v>7.8</v>
      </c>
      <c r="K13" s="43">
        <v>2.0</v>
      </c>
      <c r="L13" s="44">
        <v>300.0</v>
      </c>
      <c r="M13" s="44">
        <v>2.0</v>
      </c>
      <c r="N13" s="45">
        <v>780.0</v>
      </c>
      <c r="O13" s="45">
        <v>2.0</v>
      </c>
    </row>
    <row r="14">
      <c r="A14" s="26" t="s">
        <v>139</v>
      </c>
      <c r="B14" s="42">
        <v>102.0</v>
      </c>
      <c r="C14" s="42">
        <f t="shared" si="1"/>
        <v>1.02</v>
      </c>
      <c r="D14" s="42">
        <v>0.0</v>
      </c>
      <c r="E14" s="42">
        <f t="shared" si="2"/>
        <v>0</v>
      </c>
      <c r="F14" s="43">
        <v>30.0</v>
      </c>
      <c r="G14" s="47">
        <f t="shared" si="3"/>
        <v>0.3</v>
      </c>
      <c r="H14" s="43">
        <v>150.0</v>
      </c>
      <c r="I14" s="43">
        <f t="shared" si="4"/>
        <v>1.5</v>
      </c>
      <c r="K14" s="43">
        <v>1.0</v>
      </c>
      <c r="L14" s="44">
        <v>480.0</v>
      </c>
      <c r="M14" s="44">
        <v>1.0</v>
      </c>
      <c r="N14" s="45">
        <v>150.0</v>
      </c>
      <c r="O14" s="45">
        <v>1.0</v>
      </c>
    </row>
    <row r="15">
      <c r="C15" s="49"/>
      <c r="D15" s="50"/>
      <c r="E15" s="50"/>
      <c r="F15" s="50"/>
      <c r="G15" s="51"/>
      <c r="H15" s="50">
        <f t="shared" ref="H15:O15" si="5">SUM(H2:H14)</f>
        <v>6010</v>
      </c>
      <c r="I15" s="50">
        <f t="shared" si="5"/>
        <v>60.1</v>
      </c>
      <c r="J15" s="50">
        <f t="shared" si="5"/>
        <v>0</v>
      </c>
      <c r="K15" s="50">
        <f t="shared" si="5"/>
        <v>27</v>
      </c>
      <c r="L15" s="50">
        <f t="shared" si="5"/>
        <v>5390</v>
      </c>
      <c r="M15" s="50">
        <f t="shared" si="5"/>
        <v>28</v>
      </c>
      <c r="N15" s="50">
        <f t="shared" si="5"/>
        <v>5150</v>
      </c>
      <c r="O15" s="50">
        <f t="shared" si="5"/>
        <v>24</v>
      </c>
    </row>
    <row r="16">
      <c r="G16" s="52"/>
    </row>
    <row r="17">
      <c r="G17" s="52"/>
    </row>
    <row r="18">
      <c r="G18" s="52"/>
    </row>
    <row r="19">
      <c r="G19" s="52"/>
    </row>
    <row r="20">
      <c r="G20" s="52"/>
    </row>
    <row r="21">
      <c r="G21" s="52"/>
    </row>
    <row r="22">
      <c r="G22" s="52"/>
    </row>
    <row r="23">
      <c r="G23" s="52"/>
    </row>
    <row r="24">
      <c r="G24" s="52"/>
    </row>
    <row r="25">
      <c r="G25" s="52"/>
    </row>
    <row r="26">
      <c r="G26" s="52"/>
    </row>
    <row r="27">
      <c r="G27" s="52"/>
    </row>
    <row r="28">
      <c r="G28" s="52"/>
    </row>
    <row r="29">
      <c r="G29" s="52"/>
    </row>
    <row r="30">
      <c r="G30" s="52"/>
    </row>
    <row r="31">
      <c r="G31" s="52"/>
    </row>
    <row r="32">
      <c r="G32" s="52"/>
    </row>
    <row r="33">
      <c r="G33" s="52"/>
    </row>
    <row r="34">
      <c r="G34" s="52"/>
    </row>
    <row r="35">
      <c r="G35" s="52"/>
    </row>
    <row r="36">
      <c r="G36" s="52"/>
    </row>
    <row r="37">
      <c r="G37" s="52"/>
    </row>
    <row r="38">
      <c r="G38" s="52"/>
    </row>
    <row r="39">
      <c r="G39" s="52"/>
    </row>
    <row r="40">
      <c r="G40" s="52"/>
    </row>
    <row r="41">
      <c r="G41" s="52"/>
    </row>
    <row r="42">
      <c r="G42" s="52"/>
    </row>
    <row r="43">
      <c r="G43" s="52"/>
    </row>
    <row r="44">
      <c r="G44" s="52"/>
    </row>
    <row r="45">
      <c r="G45" s="52"/>
    </row>
    <row r="46">
      <c r="G46" s="52"/>
    </row>
    <row r="47">
      <c r="G47" s="52"/>
    </row>
    <row r="48">
      <c r="G48" s="52"/>
    </row>
    <row r="49">
      <c r="G49" s="52"/>
    </row>
    <row r="50">
      <c r="G50" s="52"/>
    </row>
    <row r="51">
      <c r="G51" s="52"/>
    </row>
    <row r="52">
      <c r="G52" s="52"/>
    </row>
    <row r="53">
      <c r="G53" s="52"/>
    </row>
    <row r="54">
      <c r="G54" s="52"/>
    </row>
    <row r="55">
      <c r="G55" s="52"/>
    </row>
    <row r="56">
      <c r="G56" s="52"/>
    </row>
    <row r="57">
      <c r="G57" s="52"/>
    </row>
    <row r="58">
      <c r="G58" s="52"/>
    </row>
    <row r="59">
      <c r="G59" s="52"/>
    </row>
    <row r="60">
      <c r="G60" s="52"/>
    </row>
    <row r="61">
      <c r="G61" s="52"/>
    </row>
    <row r="62">
      <c r="G62" s="52"/>
    </row>
    <row r="63">
      <c r="G63" s="52"/>
    </row>
    <row r="64">
      <c r="G64" s="52"/>
    </row>
    <row r="65">
      <c r="G65" s="52"/>
    </row>
    <row r="66">
      <c r="G66" s="52"/>
    </row>
    <row r="67">
      <c r="G67" s="52"/>
    </row>
    <row r="68">
      <c r="G68" s="52"/>
    </row>
    <row r="69">
      <c r="G69" s="52"/>
    </row>
    <row r="70">
      <c r="G70" s="52"/>
    </row>
    <row r="71">
      <c r="G71" s="52"/>
    </row>
    <row r="72">
      <c r="G72" s="52"/>
    </row>
    <row r="73">
      <c r="G73" s="52"/>
    </row>
    <row r="74">
      <c r="G74" s="52"/>
    </row>
    <row r="75">
      <c r="G75" s="52"/>
    </row>
    <row r="76">
      <c r="G76" s="52"/>
    </row>
    <row r="77">
      <c r="G77" s="52"/>
    </row>
    <row r="78">
      <c r="G78" s="52"/>
    </row>
    <row r="79">
      <c r="G79" s="52"/>
    </row>
    <row r="80">
      <c r="G80" s="52"/>
    </row>
    <row r="81">
      <c r="G81" s="52"/>
    </row>
    <row r="82">
      <c r="G82" s="52"/>
    </row>
    <row r="83">
      <c r="G83" s="52"/>
    </row>
    <row r="84">
      <c r="G84" s="52"/>
    </row>
    <row r="85">
      <c r="G85" s="52"/>
    </row>
    <row r="86">
      <c r="G86" s="52"/>
    </row>
    <row r="87">
      <c r="G87" s="52"/>
    </row>
    <row r="88">
      <c r="G88" s="52"/>
    </row>
    <row r="89">
      <c r="G89" s="52"/>
    </row>
    <row r="90">
      <c r="G90" s="52"/>
    </row>
    <row r="91">
      <c r="G91" s="52"/>
    </row>
    <row r="92">
      <c r="G92" s="52"/>
    </row>
    <row r="93">
      <c r="G93" s="52"/>
    </row>
    <row r="94">
      <c r="G94" s="52"/>
    </row>
    <row r="95">
      <c r="G95" s="52"/>
    </row>
    <row r="96">
      <c r="G96" s="52"/>
    </row>
    <row r="97">
      <c r="G97" s="52"/>
    </row>
    <row r="98">
      <c r="G98" s="52"/>
    </row>
    <row r="99">
      <c r="G99" s="52"/>
    </row>
    <row r="100">
      <c r="G100" s="52"/>
    </row>
    <row r="101">
      <c r="G101" s="52"/>
    </row>
    <row r="102">
      <c r="G102" s="52"/>
    </row>
    <row r="103">
      <c r="G103" s="52"/>
    </row>
    <row r="104">
      <c r="G104" s="52"/>
    </row>
    <row r="105">
      <c r="G105" s="52"/>
    </row>
    <row r="106">
      <c r="G106" s="52"/>
    </row>
    <row r="107">
      <c r="G107" s="52"/>
    </row>
    <row r="108">
      <c r="G108" s="52"/>
    </row>
    <row r="109">
      <c r="G109" s="52"/>
    </row>
    <row r="110">
      <c r="G110" s="52"/>
    </row>
    <row r="111">
      <c r="G111" s="52"/>
    </row>
    <row r="112">
      <c r="G112" s="52"/>
    </row>
    <row r="113">
      <c r="G113" s="52"/>
    </row>
    <row r="114">
      <c r="G114" s="52"/>
    </row>
    <row r="115">
      <c r="G115" s="52"/>
    </row>
    <row r="116">
      <c r="G116" s="52"/>
    </row>
    <row r="117">
      <c r="G117" s="52"/>
    </row>
    <row r="118">
      <c r="G118" s="52"/>
    </row>
    <row r="119">
      <c r="G119" s="52"/>
    </row>
    <row r="120">
      <c r="G120" s="52"/>
    </row>
    <row r="121">
      <c r="G121" s="52"/>
    </row>
    <row r="122">
      <c r="G122" s="52"/>
    </row>
    <row r="123">
      <c r="G123" s="52"/>
    </row>
    <row r="124">
      <c r="G124" s="52"/>
    </row>
    <row r="125">
      <c r="G125" s="52"/>
    </row>
    <row r="126">
      <c r="G126" s="52"/>
    </row>
    <row r="127">
      <c r="G127" s="52"/>
    </row>
    <row r="128">
      <c r="G128" s="52"/>
    </row>
    <row r="129">
      <c r="G129" s="52"/>
    </row>
    <row r="130">
      <c r="G130" s="52"/>
    </row>
    <row r="131">
      <c r="G131" s="52"/>
    </row>
    <row r="132">
      <c r="G132" s="52"/>
    </row>
    <row r="133">
      <c r="G133" s="52"/>
    </row>
    <row r="134">
      <c r="G134" s="52"/>
    </row>
    <row r="135">
      <c r="G135" s="52"/>
    </row>
    <row r="136">
      <c r="G136" s="52"/>
    </row>
    <row r="137">
      <c r="G137" s="52"/>
    </row>
    <row r="138">
      <c r="G138" s="52"/>
    </row>
    <row r="139">
      <c r="G139" s="52"/>
    </row>
    <row r="140">
      <c r="G140" s="52"/>
    </row>
    <row r="141">
      <c r="G141" s="52"/>
    </row>
    <row r="142">
      <c r="G142" s="52"/>
    </row>
    <row r="143">
      <c r="G143" s="52"/>
    </row>
    <row r="144">
      <c r="G144" s="52"/>
    </row>
    <row r="145">
      <c r="G145" s="52"/>
    </row>
    <row r="146">
      <c r="G146" s="52"/>
    </row>
    <row r="147">
      <c r="G147" s="52"/>
    </row>
    <row r="148">
      <c r="G148" s="52"/>
    </row>
    <row r="149">
      <c r="G149" s="52"/>
    </row>
    <row r="150">
      <c r="G150" s="52"/>
    </row>
    <row r="151">
      <c r="G151" s="52"/>
    </row>
    <row r="152">
      <c r="G152" s="52"/>
    </row>
    <row r="153">
      <c r="G153" s="52"/>
    </row>
    <row r="154">
      <c r="G154" s="52"/>
    </row>
    <row r="155">
      <c r="G155" s="52"/>
    </row>
    <row r="156">
      <c r="G156" s="52"/>
    </row>
    <row r="157">
      <c r="G157" s="52"/>
    </row>
    <row r="158">
      <c r="G158" s="52"/>
    </row>
    <row r="159">
      <c r="G159" s="52"/>
    </row>
    <row r="160">
      <c r="G160" s="52"/>
    </row>
    <row r="161">
      <c r="G161" s="52"/>
    </row>
    <row r="162">
      <c r="G162" s="52"/>
    </row>
    <row r="163">
      <c r="G163" s="52"/>
    </row>
    <row r="164">
      <c r="G164" s="52"/>
    </row>
    <row r="165">
      <c r="G165" s="52"/>
    </row>
    <row r="166">
      <c r="G166" s="52"/>
    </row>
    <row r="167">
      <c r="G167" s="52"/>
    </row>
    <row r="168">
      <c r="G168" s="52"/>
    </row>
    <row r="169">
      <c r="G169" s="52"/>
    </row>
    <row r="170">
      <c r="G170" s="52"/>
    </row>
    <row r="171">
      <c r="G171" s="52"/>
    </row>
    <row r="172">
      <c r="G172" s="52"/>
    </row>
    <row r="173">
      <c r="G173" s="52"/>
    </row>
    <row r="174">
      <c r="G174" s="52"/>
    </row>
    <row r="175">
      <c r="G175" s="52"/>
    </row>
    <row r="176">
      <c r="G176" s="52"/>
    </row>
    <row r="177">
      <c r="G177" s="52"/>
    </row>
    <row r="178">
      <c r="G178" s="52"/>
    </row>
    <row r="179">
      <c r="G179" s="52"/>
    </row>
    <row r="180">
      <c r="G180" s="52"/>
    </row>
    <row r="181">
      <c r="G181" s="52"/>
    </row>
    <row r="182">
      <c r="G182" s="52"/>
    </row>
    <row r="183">
      <c r="G183" s="52"/>
    </row>
    <row r="184">
      <c r="G184" s="52"/>
    </row>
    <row r="185">
      <c r="G185" s="52"/>
    </row>
    <row r="186">
      <c r="G186" s="52"/>
    </row>
    <row r="187">
      <c r="G187" s="52"/>
    </row>
    <row r="188">
      <c r="G188" s="52"/>
    </row>
    <row r="189">
      <c r="G189" s="52"/>
    </row>
    <row r="190">
      <c r="G190" s="52"/>
    </row>
    <row r="191">
      <c r="G191" s="52"/>
    </row>
    <row r="192">
      <c r="G192" s="52"/>
    </row>
    <row r="193">
      <c r="G193" s="52"/>
    </row>
    <row r="194">
      <c r="G194" s="52"/>
    </row>
    <row r="195">
      <c r="G195" s="52"/>
    </row>
    <row r="196">
      <c r="G196" s="52"/>
    </row>
    <row r="197">
      <c r="G197" s="52"/>
    </row>
    <row r="198">
      <c r="G198" s="52"/>
    </row>
    <row r="199">
      <c r="G199" s="52"/>
    </row>
    <row r="200">
      <c r="G200" s="52"/>
    </row>
    <row r="201">
      <c r="G201" s="52"/>
    </row>
    <row r="202">
      <c r="G202" s="52"/>
    </row>
    <row r="203">
      <c r="G203" s="52"/>
    </row>
    <row r="204">
      <c r="G204" s="52"/>
    </row>
    <row r="205">
      <c r="G205" s="52"/>
    </row>
    <row r="206">
      <c r="G206" s="52"/>
    </row>
    <row r="207">
      <c r="G207" s="52"/>
    </row>
    <row r="208">
      <c r="G208" s="52"/>
    </row>
    <row r="209">
      <c r="G209" s="52"/>
    </row>
    <row r="210">
      <c r="G210" s="52"/>
    </row>
    <row r="211">
      <c r="G211" s="52"/>
    </row>
    <row r="212">
      <c r="G212" s="52"/>
    </row>
    <row r="213">
      <c r="G213" s="52"/>
    </row>
    <row r="214">
      <c r="G214" s="52"/>
    </row>
    <row r="215">
      <c r="G215" s="52"/>
    </row>
    <row r="216">
      <c r="G216" s="52"/>
    </row>
    <row r="217">
      <c r="G217" s="52"/>
    </row>
    <row r="218">
      <c r="G218" s="52"/>
    </row>
    <row r="219">
      <c r="G219" s="52"/>
    </row>
    <row r="220">
      <c r="G220" s="52"/>
    </row>
    <row r="221">
      <c r="G221" s="52"/>
    </row>
    <row r="222">
      <c r="G222" s="52"/>
    </row>
    <row r="223">
      <c r="G223" s="52"/>
    </row>
    <row r="224">
      <c r="G224" s="52"/>
    </row>
    <row r="225">
      <c r="G225" s="52"/>
    </row>
    <row r="226">
      <c r="G226" s="52"/>
    </row>
    <row r="227">
      <c r="G227" s="52"/>
    </row>
    <row r="228">
      <c r="G228" s="52"/>
    </row>
    <row r="229">
      <c r="G229" s="52"/>
    </row>
    <row r="230">
      <c r="G230" s="52"/>
    </row>
    <row r="231">
      <c r="G231" s="52"/>
    </row>
    <row r="232">
      <c r="G232" s="52"/>
    </row>
    <row r="233">
      <c r="G233" s="52"/>
    </row>
    <row r="234">
      <c r="G234" s="52"/>
    </row>
    <row r="235">
      <c r="G235" s="52"/>
    </row>
    <row r="236">
      <c r="G236" s="52"/>
    </row>
    <row r="237">
      <c r="G237" s="52"/>
    </row>
    <row r="238">
      <c r="G238" s="52"/>
    </row>
    <row r="239">
      <c r="G239" s="52"/>
    </row>
    <row r="240">
      <c r="G240" s="52"/>
    </row>
    <row r="241">
      <c r="G241" s="52"/>
    </row>
    <row r="242">
      <c r="G242" s="52"/>
    </row>
    <row r="243">
      <c r="G243" s="52"/>
    </row>
    <row r="244">
      <c r="G244" s="52"/>
    </row>
    <row r="245">
      <c r="G245" s="52"/>
    </row>
    <row r="246">
      <c r="G246" s="52"/>
    </row>
    <row r="247">
      <c r="G247" s="52"/>
    </row>
    <row r="248">
      <c r="G248" s="52"/>
    </row>
    <row r="249">
      <c r="G249" s="52"/>
    </row>
    <row r="250">
      <c r="G250" s="52"/>
    </row>
    <row r="251">
      <c r="G251" s="52"/>
    </row>
    <row r="252">
      <c r="G252" s="52"/>
    </row>
    <row r="253">
      <c r="G253" s="52"/>
    </row>
    <row r="254">
      <c r="G254" s="52"/>
    </row>
    <row r="255">
      <c r="G255" s="52"/>
    </row>
    <row r="256">
      <c r="G256" s="52"/>
    </row>
    <row r="257">
      <c r="G257" s="52"/>
    </row>
    <row r="258">
      <c r="G258" s="52"/>
    </row>
    <row r="259">
      <c r="G259" s="52"/>
    </row>
    <row r="260">
      <c r="G260" s="52"/>
    </row>
    <row r="261">
      <c r="G261" s="52"/>
    </row>
    <row r="262">
      <c r="G262" s="52"/>
    </row>
    <row r="263">
      <c r="G263" s="52"/>
    </row>
    <row r="264">
      <c r="G264" s="52"/>
    </row>
    <row r="265">
      <c r="G265" s="52"/>
    </row>
    <row r="266">
      <c r="G266" s="52"/>
    </row>
    <row r="267">
      <c r="G267" s="52"/>
    </row>
    <row r="268">
      <c r="G268" s="52"/>
    </row>
    <row r="269">
      <c r="G269" s="52"/>
    </row>
    <row r="270">
      <c r="G270" s="52"/>
    </row>
    <row r="271">
      <c r="G271" s="52"/>
    </row>
    <row r="272">
      <c r="G272" s="52"/>
    </row>
    <row r="273">
      <c r="G273" s="52"/>
    </row>
    <row r="274">
      <c r="G274" s="52"/>
    </row>
    <row r="275">
      <c r="G275" s="52"/>
    </row>
    <row r="276">
      <c r="G276" s="52"/>
    </row>
    <row r="277">
      <c r="G277" s="52"/>
    </row>
    <row r="278">
      <c r="G278" s="52"/>
    </row>
    <row r="279">
      <c r="G279" s="52"/>
    </row>
    <row r="280">
      <c r="G280" s="52"/>
    </row>
    <row r="281">
      <c r="G281" s="52"/>
    </row>
    <row r="282">
      <c r="G282" s="52"/>
    </row>
    <row r="283">
      <c r="G283" s="52"/>
    </row>
    <row r="284">
      <c r="G284" s="52"/>
    </row>
    <row r="285">
      <c r="G285" s="52"/>
    </row>
    <row r="286">
      <c r="G286" s="52"/>
    </row>
    <row r="287">
      <c r="G287" s="52"/>
    </row>
    <row r="288">
      <c r="G288" s="52"/>
    </row>
    <row r="289">
      <c r="G289" s="52"/>
    </row>
    <row r="290">
      <c r="G290" s="52"/>
    </row>
    <row r="291">
      <c r="G291" s="52"/>
    </row>
    <row r="292">
      <c r="G292" s="52"/>
    </row>
    <row r="293">
      <c r="G293" s="52"/>
    </row>
    <row r="294">
      <c r="G294" s="52"/>
    </row>
    <row r="295">
      <c r="G295" s="52"/>
    </row>
    <row r="296">
      <c r="G296" s="52"/>
    </row>
    <row r="297">
      <c r="G297" s="52"/>
    </row>
    <row r="298">
      <c r="G298" s="52"/>
    </row>
    <row r="299">
      <c r="G299" s="52"/>
    </row>
    <row r="300">
      <c r="G300" s="52"/>
    </row>
    <row r="301">
      <c r="G301" s="52"/>
    </row>
    <row r="302">
      <c r="G302" s="52"/>
    </row>
    <row r="303">
      <c r="G303" s="52"/>
    </row>
    <row r="304">
      <c r="G304" s="52"/>
    </row>
    <row r="305">
      <c r="G305" s="52"/>
    </row>
    <row r="306">
      <c r="G306" s="52"/>
    </row>
    <row r="307">
      <c r="G307" s="52"/>
    </row>
    <row r="308">
      <c r="G308" s="52"/>
    </row>
    <row r="309">
      <c r="G309" s="52"/>
    </row>
    <row r="310">
      <c r="G310" s="52"/>
    </row>
    <row r="311">
      <c r="G311" s="52"/>
    </row>
    <row r="312">
      <c r="G312" s="52"/>
    </row>
    <row r="313">
      <c r="G313" s="52"/>
    </row>
    <row r="314">
      <c r="G314" s="52"/>
    </row>
    <row r="315">
      <c r="G315" s="52"/>
    </row>
    <row r="316">
      <c r="G316" s="52"/>
    </row>
    <row r="317">
      <c r="G317" s="52"/>
    </row>
    <row r="318">
      <c r="G318" s="52"/>
    </row>
    <row r="319">
      <c r="G319" s="52"/>
    </row>
    <row r="320">
      <c r="G320" s="52"/>
    </row>
    <row r="321">
      <c r="G321" s="52"/>
    </row>
    <row r="322">
      <c r="G322" s="52"/>
    </row>
    <row r="323">
      <c r="G323" s="52"/>
    </row>
    <row r="324">
      <c r="G324" s="52"/>
    </row>
    <row r="325">
      <c r="G325" s="52"/>
    </row>
    <row r="326">
      <c r="G326" s="52"/>
    </row>
    <row r="327">
      <c r="G327" s="52"/>
    </row>
    <row r="328">
      <c r="G328" s="52"/>
    </row>
    <row r="329">
      <c r="G329" s="52"/>
    </row>
    <row r="330">
      <c r="G330" s="52"/>
    </row>
    <row r="331">
      <c r="G331" s="52"/>
    </row>
    <row r="332">
      <c r="G332" s="52"/>
    </row>
    <row r="333">
      <c r="G333" s="52"/>
    </row>
    <row r="334">
      <c r="G334" s="52"/>
    </row>
    <row r="335">
      <c r="G335" s="52"/>
    </row>
    <row r="336">
      <c r="G336" s="52"/>
    </row>
    <row r="337">
      <c r="G337" s="52"/>
    </row>
    <row r="338">
      <c r="G338" s="52"/>
    </row>
    <row r="339">
      <c r="G339" s="52"/>
    </row>
    <row r="340">
      <c r="G340" s="52"/>
    </row>
    <row r="341">
      <c r="G341" s="52"/>
    </row>
    <row r="342">
      <c r="G342" s="52"/>
    </row>
    <row r="343">
      <c r="G343" s="52"/>
    </row>
    <row r="344">
      <c r="G344" s="52"/>
    </row>
    <row r="345">
      <c r="G345" s="52"/>
    </row>
    <row r="346">
      <c r="G346" s="52"/>
    </row>
    <row r="347">
      <c r="G347" s="52"/>
    </row>
    <row r="348">
      <c r="G348" s="52"/>
    </row>
    <row r="349">
      <c r="G349" s="52"/>
    </row>
    <row r="350">
      <c r="G350" s="52"/>
    </row>
    <row r="351">
      <c r="G351" s="52"/>
    </row>
    <row r="352">
      <c r="G352" s="52"/>
    </row>
    <row r="353">
      <c r="G353" s="52"/>
    </row>
    <row r="354">
      <c r="G354" s="52"/>
    </row>
    <row r="355">
      <c r="G355" s="52"/>
    </row>
    <row r="356">
      <c r="G356" s="52"/>
    </row>
    <row r="357">
      <c r="G357" s="52"/>
    </row>
    <row r="358">
      <c r="G358" s="52"/>
    </row>
    <row r="359">
      <c r="G359" s="52"/>
    </row>
    <row r="360">
      <c r="G360" s="52"/>
    </row>
    <row r="361">
      <c r="G361" s="52"/>
    </row>
    <row r="362">
      <c r="G362" s="52"/>
    </row>
    <row r="363">
      <c r="G363" s="52"/>
    </row>
    <row r="364">
      <c r="G364" s="52"/>
    </row>
    <row r="365">
      <c r="G365" s="52"/>
    </row>
    <row r="366">
      <c r="G366" s="52"/>
    </row>
    <row r="367">
      <c r="G367" s="52"/>
    </row>
    <row r="368">
      <c r="G368" s="52"/>
    </row>
    <row r="369">
      <c r="G369" s="52"/>
    </row>
    <row r="370">
      <c r="G370" s="52"/>
    </row>
    <row r="371">
      <c r="G371" s="52"/>
    </row>
    <row r="372">
      <c r="G372" s="52"/>
    </row>
    <row r="373">
      <c r="G373" s="52"/>
    </row>
    <row r="374">
      <c r="G374" s="52"/>
    </row>
    <row r="375">
      <c r="G375" s="52"/>
    </row>
    <row r="376">
      <c r="G376" s="52"/>
    </row>
    <row r="377">
      <c r="G377" s="52"/>
    </row>
    <row r="378">
      <c r="G378" s="52"/>
    </row>
    <row r="379">
      <c r="G379" s="52"/>
    </row>
    <row r="380">
      <c r="G380" s="52"/>
    </row>
    <row r="381">
      <c r="G381" s="52"/>
    </row>
    <row r="382">
      <c r="G382" s="52"/>
    </row>
    <row r="383">
      <c r="G383" s="52"/>
    </row>
    <row r="384">
      <c r="G384" s="52"/>
    </row>
    <row r="385">
      <c r="G385" s="52"/>
    </row>
    <row r="386">
      <c r="G386" s="52"/>
    </row>
    <row r="387">
      <c r="G387" s="52"/>
    </row>
    <row r="388">
      <c r="G388" s="52"/>
    </row>
    <row r="389">
      <c r="G389" s="52"/>
    </row>
    <row r="390">
      <c r="G390" s="52"/>
    </row>
    <row r="391">
      <c r="G391" s="52"/>
    </row>
    <row r="392">
      <c r="G392" s="52"/>
    </row>
    <row r="393">
      <c r="G393" s="52"/>
    </row>
    <row r="394">
      <c r="G394" s="52"/>
    </row>
    <row r="395">
      <c r="G395" s="52"/>
    </row>
    <row r="396">
      <c r="G396" s="52"/>
    </row>
    <row r="397">
      <c r="G397" s="52"/>
    </row>
    <row r="398">
      <c r="G398" s="52"/>
    </row>
    <row r="399">
      <c r="G399" s="52"/>
    </row>
    <row r="400">
      <c r="G400" s="52"/>
    </row>
    <row r="401">
      <c r="G401" s="52"/>
    </row>
    <row r="402">
      <c r="G402" s="52"/>
    </row>
    <row r="403">
      <c r="G403" s="52"/>
    </row>
    <row r="404">
      <c r="G404" s="52"/>
    </row>
    <row r="405">
      <c r="G405" s="52"/>
    </row>
    <row r="406">
      <c r="G406" s="52"/>
    </row>
    <row r="407">
      <c r="G407" s="52"/>
    </row>
    <row r="408">
      <c r="G408" s="52"/>
    </row>
    <row r="409">
      <c r="G409" s="52"/>
    </row>
    <row r="410">
      <c r="G410" s="52"/>
    </row>
    <row r="411">
      <c r="G411" s="52"/>
    </row>
    <row r="412">
      <c r="G412" s="52"/>
    </row>
    <row r="413">
      <c r="G413" s="52"/>
    </row>
    <row r="414">
      <c r="G414" s="52"/>
    </row>
    <row r="415">
      <c r="G415" s="52"/>
    </row>
    <row r="416">
      <c r="G416" s="52"/>
    </row>
    <row r="417">
      <c r="G417" s="52"/>
    </row>
    <row r="418">
      <c r="G418" s="52"/>
    </row>
    <row r="419">
      <c r="G419" s="52"/>
    </row>
    <row r="420">
      <c r="G420" s="52"/>
    </row>
    <row r="421">
      <c r="G421" s="52"/>
    </row>
    <row r="422">
      <c r="G422" s="52"/>
    </row>
    <row r="423">
      <c r="G423" s="52"/>
    </row>
    <row r="424">
      <c r="G424" s="52"/>
    </row>
    <row r="425">
      <c r="G425" s="52"/>
    </row>
    <row r="426">
      <c r="G426" s="52"/>
    </row>
    <row r="427">
      <c r="G427" s="52"/>
    </row>
    <row r="428">
      <c r="G428" s="52"/>
    </row>
    <row r="429">
      <c r="G429" s="52"/>
    </row>
    <row r="430">
      <c r="G430" s="52"/>
    </row>
    <row r="431">
      <c r="G431" s="52"/>
    </row>
    <row r="432">
      <c r="G432" s="52"/>
    </row>
    <row r="433">
      <c r="G433" s="52"/>
    </row>
    <row r="434">
      <c r="G434" s="52"/>
    </row>
    <row r="435">
      <c r="G435" s="52"/>
    </row>
    <row r="436">
      <c r="G436" s="52"/>
    </row>
    <row r="437">
      <c r="G437" s="52"/>
    </row>
    <row r="438">
      <c r="G438" s="52"/>
    </row>
    <row r="439">
      <c r="G439" s="52"/>
    </row>
    <row r="440">
      <c r="G440" s="52"/>
    </row>
    <row r="441">
      <c r="G441" s="52"/>
    </row>
    <row r="442">
      <c r="G442" s="52"/>
    </row>
    <row r="443">
      <c r="G443" s="52"/>
    </row>
    <row r="444">
      <c r="G444" s="52"/>
    </row>
    <row r="445">
      <c r="G445" s="52"/>
    </row>
    <row r="446">
      <c r="G446" s="52"/>
    </row>
    <row r="447">
      <c r="G447" s="52"/>
    </row>
    <row r="448">
      <c r="G448" s="52"/>
    </row>
    <row r="449">
      <c r="G449" s="52"/>
    </row>
    <row r="450">
      <c r="G450" s="52"/>
    </row>
    <row r="451">
      <c r="G451" s="52"/>
    </row>
    <row r="452">
      <c r="G452" s="52"/>
    </row>
    <row r="453">
      <c r="G453" s="52"/>
    </row>
    <row r="454">
      <c r="G454" s="52"/>
    </row>
    <row r="455">
      <c r="G455" s="52"/>
    </row>
    <row r="456">
      <c r="G456" s="52"/>
    </row>
    <row r="457">
      <c r="G457" s="52"/>
    </row>
    <row r="458">
      <c r="G458" s="52"/>
    </row>
    <row r="459">
      <c r="G459" s="52"/>
    </row>
    <row r="460">
      <c r="G460" s="52"/>
    </row>
    <row r="461">
      <c r="G461" s="52"/>
    </row>
    <row r="462">
      <c r="G462" s="52"/>
    </row>
    <row r="463">
      <c r="G463" s="52"/>
    </row>
    <row r="464">
      <c r="G464" s="52"/>
    </row>
    <row r="465">
      <c r="G465" s="52"/>
    </row>
    <row r="466">
      <c r="G466" s="52"/>
    </row>
    <row r="467">
      <c r="G467" s="52"/>
    </row>
    <row r="468">
      <c r="G468" s="52"/>
    </row>
    <row r="469">
      <c r="G469" s="52"/>
    </row>
    <row r="470">
      <c r="G470" s="52"/>
    </row>
    <row r="471">
      <c r="G471" s="52"/>
    </row>
    <row r="472">
      <c r="G472" s="52"/>
    </row>
    <row r="473">
      <c r="G473" s="52"/>
    </row>
    <row r="474">
      <c r="G474" s="52"/>
    </row>
    <row r="475">
      <c r="G475" s="52"/>
    </row>
    <row r="476">
      <c r="G476" s="52"/>
    </row>
    <row r="477">
      <c r="G477" s="52"/>
    </row>
    <row r="478">
      <c r="G478" s="52"/>
    </row>
    <row r="479">
      <c r="G479" s="52"/>
    </row>
    <row r="480">
      <c r="G480" s="52"/>
    </row>
    <row r="481">
      <c r="G481" s="52"/>
    </row>
    <row r="482">
      <c r="G482" s="52"/>
    </row>
    <row r="483">
      <c r="G483" s="52"/>
    </row>
    <row r="484">
      <c r="G484" s="52"/>
    </row>
    <row r="485">
      <c r="G485" s="52"/>
    </row>
    <row r="486">
      <c r="G486" s="52"/>
    </row>
    <row r="487">
      <c r="G487" s="52"/>
    </row>
    <row r="488">
      <c r="G488" s="52"/>
    </row>
    <row r="489">
      <c r="G489" s="52"/>
    </row>
    <row r="490">
      <c r="G490" s="52"/>
    </row>
    <row r="491">
      <c r="G491" s="52"/>
    </row>
    <row r="492">
      <c r="G492" s="52"/>
    </row>
    <row r="493">
      <c r="G493" s="52"/>
    </row>
    <row r="494">
      <c r="G494" s="52"/>
    </row>
    <row r="495">
      <c r="G495" s="52"/>
    </row>
    <row r="496">
      <c r="G496" s="52"/>
    </row>
    <row r="497">
      <c r="G497" s="52"/>
    </row>
    <row r="498">
      <c r="G498" s="52"/>
    </row>
    <row r="499">
      <c r="G499" s="52"/>
    </row>
    <row r="500">
      <c r="G500" s="52"/>
    </row>
    <row r="501">
      <c r="G501" s="52"/>
    </row>
    <row r="502">
      <c r="G502" s="52"/>
    </row>
    <row r="503">
      <c r="G503" s="52"/>
    </row>
    <row r="504">
      <c r="G504" s="52"/>
    </row>
    <row r="505">
      <c r="G505" s="52"/>
    </row>
    <row r="506">
      <c r="G506" s="52"/>
    </row>
    <row r="507">
      <c r="G507" s="52"/>
    </row>
    <row r="508">
      <c r="G508" s="52"/>
    </row>
    <row r="509">
      <c r="G509" s="52"/>
    </row>
    <row r="510">
      <c r="G510" s="52"/>
    </row>
    <row r="511">
      <c r="G511" s="52"/>
    </row>
    <row r="512">
      <c r="G512" s="52"/>
    </row>
    <row r="513">
      <c r="G513" s="52"/>
    </row>
    <row r="514">
      <c r="G514" s="52"/>
    </row>
    <row r="515">
      <c r="G515" s="52"/>
    </row>
    <row r="516">
      <c r="G516" s="52"/>
    </row>
    <row r="517">
      <c r="G517" s="52"/>
    </row>
    <row r="518">
      <c r="G518" s="52"/>
    </row>
    <row r="519">
      <c r="G519" s="52"/>
    </row>
    <row r="520">
      <c r="G520" s="52"/>
    </row>
    <row r="521">
      <c r="G521" s="52"/>
    </row>
    <row r="522">
      <c r="G522" s="52"/>
    </row>
    <row r="523">
      <c r="G523" s="52"/>
    </row>
    <row r="524">
      <c r="G524" s="52"/>
    </row>
    <row r="525">
      <c r="G525" s="52"/>
    </row>
    <row r="526">
      <c r="G526" s="52"/>
    </row>
    <row r="527">
      <c r="G527" s="52"/>
    </row>
    <row r="528">
      <c r="G528" s="52"/>
    </row>
    <row r="529">
      <c r="G529" s="52"/>
    </row>
    <row r="530">
      <c r="G530" s="52"/>
    </row>
    <row r="531">
      <c r="G531" s="52"/>
    </row>
    <row r="532">
      <c r="G532" s="52"/>
    </row>
    <row r="533">
      <c r="G533" s="52"/>
    </row>
    <row r="534">
      <c r="G534" s="52"/>
    </row>
    <row r="535">
      <c r="G535" s="52"/>
    </row>
    <row r="536">
      <c r="G536" s="52"/>
    </row>
    <row r="537">
      <c r="G537" s="52"/>
    </row>
    <row r="538">
      <c r="G538" s="52"/>
    </row>
    <row r="539">
      <c r="G539" s="52"/>
    </row>
    <row r="540">
      <c r="G540" s="52"/>
    </row>
    <row r="541">
      <c r="G541" s="52"/>
    </row>
    <row r="542">
      <c r="G542" s="52"/>
    </row>
    <row r="543">
      <c r="G543" s="52"/>
    </row>
    <row r="544">
      <c r="G544" s="52"/>
    </row>
    <row r="545">
      <c r="G545" s="52"/>
    </row>
    <row r="546">
      <c r="G546" s="52"/>
    </row>
    <row r="547">
      <c r="G547" s="52"/>
    </row>
    <row r="548">
      <c r="G548" s="52"/>
    </row>
    <row r="549">
      <c r="G549" s="52"/>
    </row>
    <row r="550">
      <c r="G550" s="52"/>
    </row>
    <row r="551">
      <c r="G551" s="52"/>
    </row>
    <row r="552">
      <c r="G552" s="52"/>
    </row>
    <row r="553">
      <c r="G553" s="52"/>
    </row>
    <row r="554">
      <c r="G554" s="52"/>
    </row>
    <row r="555">
      <c r="G555" s="52"/>
    </row>
    <row r="556">
      <c r="G556" s="52"/>
    </row>
    <row r="557">
      <c r="G557" s="52"/>
    </row>
    <row r="558">
      <c r="G558" s="52"/>
    </row>
    <row r="559">
      <c r="G559" s="52"/>
    </row>
    <row r="560">
      <c r="G560" s="52"/>
    </row>
    <row r="561">
      <c r="G561" s="52"/>
    </row>
    <row r="562">
      <c r="G562" s="52"/>
    </row>
    <row r="563">
      <c r="G563" s="52"/>
    </row>
    <row r="564">
      <c r="G564" s="52"/>
    </row>
    <row r="565">
      <c r="G565" s="52"/>
    </row>
    <row r="566">
      <c r="G566" s="52"/>
    </row>
    <row r="567">
      <c r="G567" s="52"/>
    </row>
    <row r="568">
      <c r="G568" s="52"/>
    </row>
    <row r="569">
      <c r="G569" s="52"/>
    </row>
    <row r="570">
      <c r="G570" s="52"/>
    </row>
    <row r="571">
      <c r="G571" s="52"/>
    </row>
    <row r="572">
      <c r="G572" s="52"/>
    </row>
    <row r="573">
      <c r="G573" s="52"/>
    </row>
    <row r="574">
      <c r="G574" s="52"/>
    </row>
    <row r="575">
      <c r="G575" s="52"/>
    </row>
    <row r="576">
      <c r="G576" s="52"/>
    </row>
    <row r="577">
      <c r="G577" s="52"/>
    </row>
    <row r="578">
      <c r="G578" s="52"/>
    </row>
    <row r="579">
      <c r="G579" s="52"/>
    </row>
    <row r="580">
      <c r="G580" s="52"/>
    </row>
    <row r="581">
      <c r="G581" s="52"/>
    </row>
    <row r="582">
      <c r="G582" s="52"/>
    </row>
    <row r="583">
      <c r="G583" s="52"/>
    </row>
    <row r="584">
      <c r="G584" s="52"/>
    </row>
    <row r="585">
      <c r="G585" s="52"/>
    </row>
    <row r="586">
      <c r="G586" s="52"/>
    </row>
    <row r="587">
      <c r="G587" s="52"/>
    </row>
    <row r="588">
      <c r="G588" s="52"/>
    </row>
    <row r="589">
      <c r="G589" s="52"/>
    </row>
    <row r="590">
      <c r="G590" s="52"/>
    </row>
    <row r="591">
      <c r="G591" s="52"/>
    </row>
    <row r="592">
      <c r="G592" s="52"/>
    </row>
    <row r="593">
      <c r="G593" s="52"/>
    </row>
    <row r="594">
      <c r="G594" s="52"/>
    </row>
    <row r="595">
      <c r="G595" s="52"/>
    </row>
    <row r="596">
      <c r="G596" s="52"/>
    </row>
    <row r="597">
      <c r="G597" s="52"/>
    </row>
    <row r="598">
      <c r="G598" s="52"/>
    </row>
    <row r="599">
      <c r="G599" s="52"/>
    </row>
    <row r="600">
      <c r="G600" s="52"/>
    </row>
    <row r="601">
      <c r="G601" s="52"/>
    </row>
    <row r="602">
      <c r="G602" s="52"/>
    </row>
    <row r="603">
      <c r="G603" s="52"/>
    </row>
    <row r="604">
      <c r="G604" s="52"/>
    </row>
    <row r="605">
      <c r="G605" s="52"/>
    </row>
    <row r="606">
      <c r="G606" s="52"/>
    </row>
    <row r="607">
      <c r="G607" s="52"/>
    </row>
    <row r="608">
      <c r="G608" s="52"/>
    </row>
    <row r="609">
      <c r="G609" s="52"/>
    </row>
    <row r="610">
      <c r="G610" s="52"/>
    </row>
    <row r="611">
      <c r="G611" s="52"/>
    </row>
    <row r="612">
      <c r="G612" s="52"/>
    </row>
    <row r="613">
      <c r="G613" s="52"/>
    </row>
    <row r="614">
      <c r="G614" s="52"/>
    </row>
    <row r="615">
      <c r="G615" s="52"/>
    </row>
    <row r="616">
      <c r="G616" s="52"/>
    </row>
    <row r="617">
      <c r="G617" s="52"/>
    </row>
    <row r="618">
      <c r="G618" s="52"/>
    </row>
    <row r="619">
      <c r="G619" s="52"/>
    </row>
    <row r="620">
      <c r="G620" s="52"/>
    </row>
    <row r="621">
      <c r="G621" s="52"/>
    </row>
    <row r="622">
      <c r="G622" s="52"/>
    </row>
    <row r="623">
      <c r="G623" s="52"/>
    </row>
    <row r="624">
      <c r="G624" s="52"/>
    </row>
    <row r="625">
      <c r="G625" s="52"/>
    </row>
    <row r="626">
      <c r="G626" s="52"/>
    </row>
    <row r="627">
      <c r="G627" s="52"/>
    </row>
    <row r="628">
      <c r="G628" s="52"/>
    </row>
    <row r="629">
      <c r="G629" s="52"/>
    </row>
    <row r="630">
      <c r="G630" s="52"/>
    </row>
    <row r="631">
      <c r="G631" s="52"/>
    </row>
    <row r="632">
      <c r="G632" s="52"/>
    </row>
    <row r="633">
      <c r="G633" s="52"/>
    </row>
    <row r="634">
      <c r="G634" s="52"/>
    </row>
    <row r="635">
      <c r="G635" s="52"/>
    </row>
    <row r="636">
      <c r="G636" s="52"/>
    </row>
    <row r="637">
      <c r="G637" s="52"/>
    </row>
    <row r="638">
      <c r="G638" s="52"/>
    </row>
    <row r="639">
      <c r="G639" s="52"/>
    </row>
    <row r="640">
      <c r="G640" s="52"/>
    </row>
    <row r="641">
      <c r="G641" s="52"/>
    </row>
    <row r="642">
      <c r="G642" s="52"/>
    </row>
    <row r="643">
      <c r="G643" s="52"/>
    </row>
    <row r="644">
      <c r="G644" s="52"/>
    </row>
    <row r="645">
      <c r="G645" s="52"/>
    </row>
    <row r="646">
      <c r="G646" s="52"/>
    </row>
    <row r="647">
      <c r="G647" s="52"/>
    </row>
    <row r="648">
      <c r="G648" s="52"/>
    </row>
    <row r="649">
      <c r="G649" s="52"/>
    </row>
    <row r="650">
      <c r="G650" s="52"/>
    </row>
    <row r="651">
      <c r="G651" s="52"/>
    </row>
    <row r="652">
      <c r="G652" s="52"/>
    </row>
    <row r="653">
      <c r="G653" s="52"/>
    </row>
    <row r="654">
      <c r="G654" s="52"/>
    </row>
    <row r="655">
      <c r="G655" s="52"/>
    </row>
    <row r="656">
      <c r="G656" s="52"/>
    </row>
    <row r="657">
      <c r="G657" s="52"/>
    </row>
    <row r="658">
      <c r="G658" s="52"/>
    </row>
    <row r="659">
      <c r="G659" s="52"/>
    </row>
    <row r="660">
      <c r="G660" s="52"/>
    </row>
    <row r="661">
      <c r="G661" s="52"/>
    </row>
    <row r="662">
      <c r="G662" s="52"/>
    </row>
    <row r="663">
      <c r="G663" s="52"/>
    </row>
    <row r="664">
      <c r="G664" s="52"/>
    </row>
    <row r="665">
      <c r="G665" s="52"/>
    </row>
    <row r="666">
      <c r="G666" s="52"/>
    </row>
    <row r="667">
      <c r="G667" s="52"/>
    </row>
    <row r="668">
      <c r="G668" s="52"/>
    </row>
    <row r="669">
      <c r="G669" s="52"/>
    </row>
    <row r="670">
      <c r="G670" s="52"/>
    </row>
    <row r="671">
      <c r="G671" s="52"/>
    </row>
    <row r="672">
      <c r="G672" s="52"/>
    </row>
    <row r="673">
      <c r="G673" s="52"/>
    </row>
    <row r="674">
      <c r="G674" s="52"/>
    </row>
    <row r="675">
      <c r="G675" s="52"/>
    </row>
    <row r="676">
      <c r="G676" s="52"/>
    </row>
    <row r="677">
      <c r="G677" s="52"/>
    </row>
    <row r="678">
      <c r="G678" s="52"/>
    </row>
    <row r="679">
      <c r="G679" s="52"/>
    </row>
    <row r="680">
      <c r="G680" s="52"/>
    </row>
    <row r="681">
      <c r="G681" s="52"/>
    </row>
    <row r="682">
      <c r="G682" s="52"/>
    </row>
    <row r="683">
      <c r="G683" s="52"/>
    </row>
    <row r="684">
      <c r="G684" s="52"/>
    </row>
    <row r="685">
      <c r="G685" s="52"/>
    </row>
    <row r="686">
      <c r="G686" s="52"/>
    </row>
    <row r="687">
      <c r="G687" s="52"/>
    </row>
    <row r="688">
      <c r="G688" s="52"/>
    </row>
    <row r="689">
      <c r="G689" s="52"/>
    </row>
    <row r="690">
      <c r="G690" s="52"/>
    </row>
    <row r="691">
      <c r="G691" s="52"/>
    </row>
    <row r="692">
      <c r="G692" s="52"/>
    </row>
    <row r="693">
      <c r="G693" s="52"/>
    </row>
    <row r="694">
      <c r="G694" s="52"/>
    </row>
    <row r="695">
      <c r="G695" s="52"/>
    </row>
    <row r="696">
      <c r="G696" s="52"/>
    </row>
    <row r="697">
      <c r="G697" s="52"/>
    </row>
    <row r="698">
      <c r="G698" s="52"/>
    </row>
    <row r="699">
      <c r="G699" s="52"/>
    </row>
    <row r="700">
      <c r="G700" s="52"/>
    </row>
    <row r="701">
      <c r="G701" s="52"/>
    </row>
    <row r="702">
      <c r="G702" s="52"/>
    </row>
    <row r="703">
      <c r="G703" s="52"/>
    </row>
    <row r="704">
      <c r="G704" s="52"/>
    </row>
    <row r="705">
      <c r="G705" s="52"/>
    </row>
    <row r="706">
      <c r="G706" s="52"/>
    </row>
    <row r="707">
      <c r="G707" s="52"/>
    </row>
    <row r="708">
      <c r="G708" s="52"/>
    </row>
    <row r="709">
      <c r="G709" s="52"/>
    </row>
    <row r="710">
      <c r="G710" s="52"/>
    </row>
    <row r="711">
      <c r="G711" s="52"/>
    </row>
    <row r="712">
      <c r="G712" s="52"/>
    </row>
    <row r="713">
      <c r="G713" s="52"/>
    </row>
    <row r="714">
      <c r="G714" s="52"/>
    </row>
    <row r="715">
      <c r="G715" s="52"/>
    </row>
    <row r="716">
      <c r="G716" s="52"/>
    </row>
    <row r="717">
      <c r="G717" s="52"/>
    </row>
    <row r="718">
      <c r="G718" s="52"/>
    </row>
    <row r="719">
      <c r="G719" s="52"/>
    </row>
    <row r="720">
      <c r="G720" s="52"/>
    </row>
    <row r="721">
      <c r="G721" s="52"/>
    </row>
    <row r="722">
      <c r="G722" s="52"/>
    </row>
    <row r="723">
      <c r="G723" s="52"/>
    </row>
    <row r="724">
      <c r="G724" s="52"/>
    </row>
    <row r="725">
      <c r="G725" s="52"/>
    </row>
    <row r="726">
      <c r="G726" s="52"/>
    </row>
    <row r="727">
      <c r="G727" s="52"/>
    </row>
    <row r="728">
      <c r="G728" s="52"/>
    </row>
    <row r="729">
      <c r="G729" s="52"/>
    </row>
    <row r="730">
      <c r="G730" s="52"/>
    </row>
    <row r="731">
      <c r="G731" s="52"/>
    </row>
    <row r="732">
      <c r="G732" s="52"/>
    </row>
    <row r="733">
      <c r="G733" s="52"/>
    </row>
    <row r="734">
      <c r="G734" s="52"/>
    </row>
    <row r="735">
      <c r="G735" s="52"/>
    </row>
    <row r="736">
      <c r="G736" s="52"/>
    </row>
    <row r="737">
      <c r="G737" s="52"/>
    </row>
    <row r="738">
      <c r="G738" s="52"/>
    </row>
    <row r="739">
      <c r="G739" s="52"/>
    </row>
    <row r="740">
      <c r="G740" s="52"/>
    </row>
    <row r="741">
      <c r="G741" s="52"/>
    </row>
    <row r="742">
      <c r="G742" s="52"/>
    </row>
    <row r="743">
      <c r="G743" s="52"/>
    </row>
    <row r="744">
      <c r="G744" s="52"/>
    </row>
    <row r="745">
      <c r="G745" s="52"/>
    </row>
    <row r="746">
      <c r="G746" s="52"/>
    </row>
    <row r="747">
      <c r="G747" s="52"/>
    </row>
    <row r="748">
      <c r="G748" s="52"/>
    </row>
    <row r="749">
      <c r="G749" s="52"/>
    </row>
    <row r="750">
      <c r="G750" s="52"/>
    </row>
    <row r="751">
      <c r="G751" s="52"/>
    </row>
    <row r="752">
      <c r="G752" s="52"/>
    </row>
    <row r="753">
      <c r="G753" s="52"/>
    </row>
    <row r="754">
      <c r="G754" s="52"/>
    </row>
    <row r="755">
      <c r="G755" s="52"/>
    </row>
    <row r="756">
      <c r="G756" s="52"/>
    </row>
    <row r="757">
      <c r="G757" s="52"/>
    </row>
    <row r="758">
      <c r="G758" s="52"/>
    </row>
    <row r="759">
      <c r="G759" s="52"/>
    </row>
    <row r="760">
      <c r="G760" s="52"/>
    </row>
    <row r="761">
      <c r="G761" s="52"/>
    </row>
    <row r="762">
      <c r="G762" s="52"/>
    </row>
    <row r="763">
      <c r="G763" s="52"/>
    </row>
    <row r="764">
      <c r="G764" s="52"/>
    </row>
    <row r="765">
      <c r="G765" s="52"/>
    </row>
    <row r="766">
      <c r="G766" s="52"/>
    </row>
    <row r="767">
      <c r="G767" s="52"/>
    </row>
    <row r="768">
      <c r="G768" s="52"/>
    </row>
    <row r="769">
      <c r="G769" s="52"/>
    </row>
    <row r="770">
      <c r="G770" s="52"/>
    </row>
    <row r="771">
      <c r="G771" s="52"/>
    </row>
    <row r="772">
      <c r="G772" s="52"/>
    </row>
    <row r="773">
      <c r="G773" s="52"/>
    </row>
    <row r="774">
      <c r="G774" s="52"/>
    </row>
    <row r="775">
      <c r="G775" s="52"/>
    </row>
    <row r="776">
      <c r="G776" s="52"/>
    </row>
    <row r="777">
      <c r="G777" s="52"/>
    </row>
    <row r="778">
      <c r="G778" s="52"/>
    </row>
    <row r="779">
      <c r="G779" s="52"/>
    </row>
    <row r="780">
      <c r="G780" s="52"/>
    </row>
    <row r="781">
      <c r="G781" s="52"/>
    </row>
    <row r="782">
      <c r="G782" s="52"/>
    </row>
    <row r="783">
      <c r="G783" s="52"/>
    </row>
    <row r="784">
      <c r="G784" s="52"/>
    </row>
    <row r="785">
      <c r="G785" s="52"/>
    </row>
    <row r="786">
      <c r="G786" s="52"/>
    </row>
    <row r="787">
      <c r="G787" s="52"/>
    </row>
    <row r="788">
      <c r="G788" s="52"/>
    </row>
    <row r="789">
      <c r="G789" s="52"/>
    </row>
    <row r="790">
      <c r="G790" s="52"/>
    </row>
    <row r="791">
      <c r="G791" s="52"/>
    </row>
    <row r="792">
      <c r="G792" s="52"/>
    </row>
    <row r="793">
      <c r="G793" s="52"/>
    </row>
    <row r="794">
      <c r="G794" s="52"/>
    </row>
    <row r="795">
      <c r="G795" s="52"/>
    </row>
    <row r="796">
      <c r="G796" s="52"/>
    </row>
    <row r="797">
      <c r="G797" s="52"/>
    </row>
    <row r="798">
      <c r="G798" s="52"/>
    </row>
    <row r="799">
      <c r="G799" s="52"/>
    </row>
    <row r="800">
      <c r="G800" s="52"/>
    </row>
    <row r="801">
      <c r="G801" s="52"/>
    </row>
    <row r="802">
      <c r="G802" s="52"/>
    </row>
    <row r="803">
      <c r="G803" s="52"/>
    </row>
    <row r="804">
      <c r="G804" s="52"/>
    </row>
    <row r="805">
      <c r="G805" s="52"/>
    </row>
    <row r="806">
      <c r="G806" s="52"/>
    </row>
    <row r="807">
      <c r="G807" s="52"/>
    </row>
    <row r="808">
      <c r="G808" s="52"/>
    </row>
    <row r="809">
      <c r="G809" s="52"/>
    </row>
    <row r="810">
      <c r="G810" s="52"/>
    </row>
    <row r="811">
      <c r="G811" s="52"/>
    </row>
    <row r="812">
      <c r="G812" s="52"/>
    </row>
    <row r="813">
      <c r="G813" s="52"/>
    </row>
    <row r="814">
      <c r="G814" s="52"/>
    </row>
    <row r="815">
      <c r="G815" s="52"/>
    </row>
    <row r="816">
      <c r="G816" s="52"/>
    </row>
    <row r="817">
      <c r="G817" s="52"/>
    </row>
    <row r="818">
      <c r="G818" s="52"/>
    </row>
    <row r="819">
      <c r="G819" s="52"/>
    </row>
    <row r="820">
      <c r="G820" s="52"/>
    </row>
    <row r="821">
      <c r="G821" s="52"/>
    </row>
    <row r="822">
      <c r="G822" s="52"/>
    </row>
    <row r="823">
      <c r="G823" s="52"/>
    </row>
    <row r="824">
      <c r="G824" s="52"/>
    </row>
    <row r="825">
      <c r="G825" s="52"/>
    </row>
    <row r="826">
      <c r="G826" s="52"/>
    </row>
    <row r="827">
      <c r="G827" s="52"/>
    </row>
    <row r="828">
      <c r="G828" s="52"/>
    </row>
    <row r="829">
      <c r="G829" s="52"/>
    </row>
    <row r="830">
      <c r="G830" s="52"/>
    </row>
    <row r="831">
      <c r="G831" s="52"/>
    </row>
    <row r="832">
      <c r="G832" s="52"/>
    </row>
    <row r="833">
      <c r="G833" s="52"/>
    </row>
    <row r="834">
      <c r="G834" s="52"/>
    </row>
    <row r="835">
      <c r="G835" s="52"/>
    </row>
    <row r="836">
      <c r="G836" s="52"/>
    </row>
    <row r="837">
      <c r="G837" s="52"/>
    </row>
    <row r="838">
      <c r="G838" s="52"/>
    </row>
    <row r="839">
      <c r="G839" s="52"/>
    </row>
    <row r="840">
      <c r="G840" s="52"/>
    </row>
    <row r="841">
      <c r="G841" s="52"/>
    </row>
    <row r="842">
      <c r="G842" s="52"/>
    </row>
    <row r="843">
      <c r="G843" s="52"/>
    </row>
    <row r="844">
      <c r="G844" s="52"/>
    </row>
    <row r="845">
      <c r="G845" s="52"/>
    </row>
    <row r="846">
      <c r="G846" s="52"/>
    </row>
    <row r="847">
      <c r="G847" s="52"/>
    </row>
    <row r="848">
      <c r="G848" s="52"/>
    </row>
    <row r="849">
      <c r="G849" s="52"/>
    </row>
    <row r="850">
      <c r="G850" s="52"/>
    </row>
    <row r="851">
      <c r="G851" s="52"/>
    </row>
    <row r="852">
      <c r="G852" s="52"/>
    </row>
    <row r="853">
      <c r="G853" s="52"/>
    </row>
    <row r="854">
      <c r="G854" s="52"/>
    </row>
    <row r="855">
      <c r="G855" s="52"/>
    </row>
    <row r="856">
      <c r="G856" s="52"/>
    </row>
    <row r="857">
      <c r="G857" s="52"/>
    </row>
    <row r="858">
      <c r="G858" s="52"/>
    </row>
    <row r="859">
      <c r="G859" s="52"/>
    </row>
    <row r="860">
      <c r="G860" s="52"/>
    </row>
    <row r="861">
      <c r="G861" s="52"/>
    </row>
    <row r="862">
      <c r="G862" s="52"/>
    </row>
    <row r="863">
      <c r="G863" s="52"/>
    </row>
    <row r="864">
      <c r="G864" s="52"/>
    </row>
    <row r="865">
      <c r="G865" s="52"/>
    </row>
    <row r="866">
      <c r="G866" s="52"/>
    </row>
    <row r="867">
      <c r="G867" s="52"/>
    </row>
    <row r="868">
      <c r="G868" s="52"/>
    </row>
    <row r="869">
      <c r="G869" s="52"/>
    </row>
    <row r="870">
      <c r="G870" s="52"/>
    </row>
    <row r="871">
      <c r="G871" s="52"/>
    </row>
    <row r="872">
      <c r="G872" s="52"/>
    </row>
    <row r="873">
      <c r="G873" s="52"/>
    </row>
    <row r="874">
      <c r="G874" s="52"/>
    </row>
    <row r="875">
      <c r="G875" s="52"/>
    </row>
    <row r="876">
      <c r="G876" s="52"/>
    </row>
    <row r="877">
      <c r="G877" s="52"/>
    </row>
    <row r="878">
      <c r="G878" s="52"/>
    </row>
    <row r="879">
      <c r="G879" s="52"/>
    </row>
    <row r="880">
      <c r="G880" s="52"/>
    </row>
    <row r="881">
      <c r="G881" s="52"/>
    </row>
    <row r="882">
      <c r="G882" s="52"/>
    </row>
    <row r="883">
      <c r="G883" s="52"/>
    </row>
    <row r="884">
      <c r="G884" s="52"/>
    </row>
    <row r="885">
      <c r="G885" s="52"/>
    </row>
    <row r="886">
      <c r="G886" s="52"/>
    </row>
    <row r="887">
      <c r="G887" s="52"/>
    </row>
    <row r="888">
      <c r="G888" s="52"/>
    </row>
    <row r="889">
      <c r="G889" s="52"/>
    </row>
    <row r="890">
      <c r="G890" s="52"/>
    </row>
    <row r="891">
      <c r="G891" s="52"/>
    </row>
    <row r="892">
      <c r="G892" s="52"/>
    </row>
    <row r="893">
      <c r="G893" s="52"/>
    </row>
    <row r="894">
      <c r="G894" s="52"/>
    </row>
    <row r="895">
      <c r="G895" s="52"/>
    </row>
    <row r="896">
      <c r="G896" s="52"/>
    </row>
    <row r="897">
      <c r="G897" s="52"/>
    </row>
    <row r="898">
      <c r="G898" s="52"/>
    </row>
    <row r="899">
      <c r="G899" s="52"/>
    </row>
    <row r="900">
      <c r="G900" s="52"/>
    </row>
    <row r="901">
      <c r="G901" s="52"/>
    </row>
    <row r="902">
      <c r="G902" s="52"/>
    </row>
    <row r="903">
      <c r="G903" s="52"/>
    </row>
    <row r="904">
      <c r="G904" s="52"/>
    </row>
    <row r="905">
      <c r="G905" s="52"/>
    </row>
    <row r="906">
      <c r="G906" s="52"/>
    </row>
    <row r="907">
      <c r="G907" s="52"/>
    </row>
    <row r="908">
      <c r="G908" s="52"/>
    </row>
    <row r="909">
      <c r="G909" s="52"/>
    </row>
    <row r="910">
      <c r="G910" s="52"/>
    </row>
    <row r="911">
      <c r="G911" s="52"/>
    </row>
    <row r="912">
      <c r="G912" s="52"/>
    </row>
    <row r="913">
      <c r="G913" s="52"/>
    </row>
    <row r="914">
      <c r="G914" s="52"/>
    </row>
    <row r="915">
      <c r="G915" s="52"/>
    </row>
    <row r="916">
      <c r="G916" s="52"/>
    </row>
    <row r="917">
      <c r="G917" s="52"/>
    </row>
    <row r="918">
      <c r="G918" s="52"/>
    </row>
    <row r="919">
      <c r="G919" s="52"/>
    </row>
    <row r="920">
      <c r="G920" s="52"/>
    </row>
    <row r="921">
      <c r="G921" s="52"/>
    </row>
    <row r="922">
      <c r="G922" s="52"/>
    </row>
    <row r="923">
      <c r="G923" s="52"/>
    </row>
    <row r="924">
      <c r="G924" s="52"/>
    </row>
    <row r="925">
      <c r="G925" s="52"/>
    </row>
    <row r="926">
      <c r="G926" s="52"/>
    </row>
    <row r="927">
      <c r="G927" s="52"/>
    </row>
    <row r="928">
      <c r="G928" s="52"/>
    </row>
    <row r="929">
      <c r="G929" s="52"/>
    </row>
    <row r="930">
      <c r="G930" s="52"/>
    </row>
    <row r="931">
      <c r="G931" s="52"/>
    </row>
    <row r="932">
      <c r="G932" s="52"/>
    </row>
    <row r="933">
      <c r="G933" s="52"/>
    </row>
    <row r="934">
      <c r="G934" s="52"/>
    </row>
    <row r="935">
      <c r="G935" s="52"/>
    </row>
    <row r="936">
      <c r="G936" s="52"/>
    </row>
    <row r="937">
      <c r="G937" s="52"/>
    </row>
    <row r="938">
      <c r="G938" s="52"/>
    </row>
    <row r="939">
      <c r="G939" s="52"/>
    </row>
    <row r="940">
      <c r="G940" s="52"/>
    </row>
    <row r="941">
      <c r="G941" s="52"/>
    </row>
    <row r="942">
      <c r="G942" s="52"/>
    </row>
    <row r="943">
      <c r="G943" s="52"/>
    </row>
    <row r="944">
      <c r="G944" s="52"/>
    </row>
    <row r="945">
      <c r="G945" s="52"/>
    </row>
    <row r="946">
      <c r="G946" s="52"/>
    </row>
    <row r="947">
      <c r="G947" s="52"/>
    </row>
    <row r="948">
      <c r="G948" s="52"/>
    </row>
    <row r="949">
      <c r="G949" s="52"/>
    </row>
    <row r="950">
      <c r="G950" s="52"/>
    </row>
    <row r="951">
      <c r="G951" s="52"/>
    </row>
    <row r="952">
      <c r="G952" s="52"/>
    </row>
    <row r="953">
      <c r="G953" s="52"/>
    </row>
    <row r="954">
      <c r="G954" s="52"/>
    </row>
    <row r="955">
      <c r="G955" s="52"/>
    </row>
    <row r="956">
      <c r="G956" s="52"/>
    </row>
    <row r="957">
      <c r="G957" s="52"/>
    </row>
    <row r="958">
      <c r="G958" s="52"/>
    </row>
    <row r="959">
      <c r="G959" s="52"/>
    </row>
    <row r="960">
      <c r="G960" s="52"/>
    </row>
    <row r="961">
      <c r="G961" s="52"/>
    </row>
    <row r="962">
      <c r="G962" s="52"/>
    </row>
    <row r="963">
      <c r="G963" s="52"/>
    </row>
    <row r="964">
      <c r="G964" s="52"/>
    </row>
    <row r="965">
      <c r="G965" s="52"/>
    </row>
    <row r="966">
      <c r="G966" s="52"/>
    </row>
    <row r="967">
      <c r="G967" s="52"/>
    </row>
    <row r="968">
      <c r="G968" s="52"/>
    </row>
    <row r="969">
      <c r="G969" s="52"/>
    </row>
    <row r="970">
      <c r="G970" s="52"/>
    </row>
    <row r="971">
      <c r="G971" s="52"/>
    </row>
    <row r="972">
      <c r="G972" s="52"/>
    </row>
    <row r="973">
      <c r="G973" s="52"/>
    </row>
    <row r="974">
      <c r="G974" s="52"/>
    </row>
    <row r="975">
      <c r="G975" s="52"/>
    </row>
    <row r="976">
      <c r="G976" s="52"/>
    </row>
    <row r="977">
      <c r="G977" s="52"/>
    </row>
    <row r="978">
      <c r="G978" s="52"/>
    </row>
    <row r="979">
      <c r="G979" s="52"/>
    </row>
    <row r="980">
      <c r="G980" s="52"/>
    </row>
    <row r="981">
      <c r="G981" s="52"/>
    </row>
    <row r="982">
      <c r="G982" s="52"/>
    </row>
    <row r="983">
      <c r="G983" s="52"/>
    </row>
    <row r="984">
      <c r="G984" s="52"/>
    </row>
    <row r="985">
      <c r="G985" s="52"/>
    </row>
    <row r="986">
      <c r="G986" s="52"/>
    </row>
    <row r="987">
      <c r="G987" s="52"/>
    </row>
    <row r="988">
      <c r="G988" s="52"/>
    </row>
    <row r="989">
      <c r="G989" s="52"/>
    </row>
    <row r="990">
      <c r="G990" s="52"/>
    </row>
    <row r="991">
      <c r="G991" s="52"/>
    </row>
    <row r="992">
      <c r="G992" s="52"/>
    </row>
    <row r="993">
      <c r="G993" s="52"/>
    </row>
    <row r="994">
      <c r="G994" s="52"/>
    </row>
    <row r="995">
      <c r="G995" s="52"/>
    </row>
    <row r="996">
      <c r="G996" s="52"/>
    </row>
    <row r="997">
      <c r="G997" s="52"/>
    </row>
    <row r="998">
      <c r="G998" s="52"/>
    </row>
    <row r="999">
      <c r="G999" s="52"/>
    </row>
    <row r="1000">
      <c r="G1000" s="52"/>
    </row>
    <row r="1001">
      <c r="G1001" s="5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15.63"/>
  </cols>
  <sheetData>
    <row r="1">
      <c r="A1" s="26" t="s">
        <v>140</v>
      </c>
      <c r="B1" s="26" t="s">
        <v>141</v>
      </c>
      <c r="C1" s="26" t="s">
        <v>142</v>
      </c>
    </row>
    <row r="2">
      <c r="A2" s="26" t="s">
        <v>143</v>
      </c>
      <c r="B2" s="53">
        <v>28347.1</v>
      </c>
      <c r="C2" s="26">
        <v>17238.33</v>
      </c>
    </row>
    <row r="3">
      <c r="A3" s="26" t="s">
        <v>144</v>
      </c>
      <c r="B3" s="26">
        <v>34366.8</v>
      </c>
      <c r="C3" s="53">
        <v>16726.56</v>
      </c>
    </row>
    <row r="4">
      <c r="A4" s="26" t="s">
        <v>145</v>
      </c>
      <c r="B4" s="26">
        <v>31558.0</v>
      </c>
      <c r="C4" s="26">
        <v>23576.6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146</v>
      </c>
      <c r="B3" s="28" t="s">
        <v>147</v>
      </c>
      <c r="C3" s="3">
        <v>2.0</v>
      </c>
      <c r="D3" s="3"/>
      <c r="E3" s="3">
        <v>10.0</v>
      </c>
      <c r="F3" s="54">
        <v>105.0</v>
      </c>
      <c r="G3" s="55"/>
      <c r="H3" s="17">
        <v>2.0</v>
      </c>
      <c r="I3" s="5" t="str">
        <f t="shared" ref="I3:I12" si="1">CONCATENATE(H3,"/",C3)</f>
        <v>2/2</v>
      </c>
      <c r="J3" s="3">
        <f t="shared" ref="J3:J11" si="2">C3-H3</f>
        <v>0</v>
      </c>
      <c r="L3" s="26"/>
    </row>
    <row r="4">
      <c r="A4" s="3" t="s">
        <v>72</v>
      </c>
      <c r="B4" s="3" t="s">
        <v>148</v>
      </c>
      <c r="C4" s="3">
        <v>1.0</v>
      </c>
      <c r="D4" s="3"/>
      <c r="E4" s="3">
        <v>4.0</v>
      </c>
      <c r="F4" s="54">
        <v>65.0</v>
      </c>
      <c r="G4" s="55"/>
      <c r="H4" s="17">
        <v>1.0</v>
      </c>
      <c r="I4" s="5" t="str">
        <f t="shared" si="1"/>
        <v>1/1</v>
      </c>
      <c r="J4" s="3">
        <f t="shared" si="2"/>
        <v>0</v>
      </c>
      <c r="L4" s="26"/>
    </row>
    <row r="5">
      <c r="A5" s="3" t="s">
        <v>149</v>
      </c>
      <c r="B5" s="3" t="s">
        <v>150</v>
      </c>
      <c r="C5" s="3">
        <v>4.0</v>
      </c>
      <c r="D5" s="3"/>
      <c r="E5" s="3">
        <v>13.0</v>
      </c>
      <c r="F5" s="54">
        <v>115.0</v>
      </c>
      <c r="G5" s="55"/>
      <c r="H5" s="17">
        <v>3.0</v>
      </c>
      <c r="I5" s="5" t="str">
        <f t="shared" si="1"/>
        <v>3/4</v>
      </c>
      <c r="J5" s="3">
        <f t="shared" si="2"/>
        <v>1</v>
      </c>
      <c r="L5" s="26"/>
    </row>
    <row r="6">
      <c r="A6" s="3" t="s">
        <v>151</v>
      </c>
      <c r="B6" s="3" t="s">
        <v>152</v>
      </c>
      <c r="C6" s="3">
        <v>3.0</v>
      </c>
      <c r="D6" s="3">
        <v>0.0</v>
      </c>
      <c r="E6" s="17">
        <v>9.0</v>
      </c>
      <c r="F6" s="54">
        <v>118.0</v>
      </c>
      <c r="G6" s="55"/>
      <c r="H6" s="17">
        <v>1.0</v>
      </c>
      <c r="I6" s="5" t="str">
        <f t="shared" si="1"/>
        <v>1/3</v>
      </c>
      <c r="J6" s="3">
        <f t="shared" si="2"/>
        <v>2</v>
      </c>
      <c r="L6" s="27" t="str">
        <f>1+#REF!</f>
        <v>#REF!</v>
      </c>
      <c r="M6" s="27" t="str">
        <f t="shared" ref="M6:M11" si="3">CONCATENATE(L6,". ",B6," - ",I6)</f>
        <v>#REF!</v>
      </c>
    </row>
    <row r="7">
      <c r="A7" s="3" t="s">
        <v>153</v>
      </c>
      <c r="B7" s="28" t="s">
        <v>154</v>
      </c>
      <c r="C7" s="17">
        <v>6.0</v>
      </c>
      <c r="D7" s="3">
        <v>0.0</v>
      </c>
      <c r="E7" s="17">
        <v>5.0</v>
      </c>
      <c r="F7" s="54">
        <v>1985.0</v>
      </c>
      <c r="G7" s="55"/>
      <c r="H7" s="17">
        <v>2.0</v>
      </c>
      <c r="I7" s="5" t="str">
        <f t="shared" si="1"/>
        <v>2/6</v>
      </c>
      <c r="J7" s="3">
        <f t="shared" si="2"/>
        <v>4</v>
      </c>
      <c r="L7" s="27" t="str">
        <f>1+L6</f>
        <v>#REF!</v>
      </c>
      <c r="M7" s="27" t="str">
        <f t="shared" si="3"/>
        <v>#REF!</v>
      </c>
    </row>
    <row r="8">
      <c r="A8" s="3" t="s">
        <v>155</v>
      </c>
      <c r="B8" s="3" t="s">
        <v>156</v>
      </c>
      <c r="C8" s="3">
        <v>4.0</v>
      </c>
      <c r="D8" s="3">
        <v>1.0</v>
      </c>
      <c r="E8" s="17">
        <v>15.0</v>
      </c>
      <c r="F8" s="54">
        <v>75.0</v>
      </c>
      <c r="G8" s="55"/>
      <c r="H8" s="17">
        <v>2.0</v>
      </c>
      <c r="I8" s="5" t="str">
        <f t="shared" si="1"/>
        <v>2/4</v>
      </c>
      <c r="J8" s="3">
        <f t="shared" si="2"/>
        <v>2</v>
      </c>
      <c r="L8" s="27">
        <f>1+L9</f>
        <v>3</v>
      </c>
      <c r="M8" s="27" t="str">
        <f t="shared" si="3"/>
        <v>3. Delali Apedu - 2/4</v>
      </c>
    </row>
    <row r="9">
      <c r="A9" s="3" t="s">
        <v>157</v>
      </c>
      <c r="B9" s="3" t="s">
        <v>158</v>
      </c>
      <c r="C9" s="3">
        <v>3.0</v>
      </c>
      <c r="D9" s="3">
        <v>1.0</v>
      </c>
      <c r="E9" s="17">
        <v>3.0</v>
      </c>
      <c r="F9" s="54">
        <v>905.0</v>
      </c>
      <c r="G9" s="55"/>
      <c r="H9" s="17">
        <v>1.0</v>
      </c>
      <c r="I9" s="5" t="str">
        <f t="shared" si="1"/>
        <v>1/3</v>
      </c>
      <c r="J9" s="3">
        <f t="shared" si="2"/>
        <v>2</v>
      </c>
      <c r="L9" s="27">
        <f>1+L11</f>
        <v>2</v>
      </c>
      <c r="M9" s="27" t="str">
        <f t="shared" si="3"/>
        <v>2. Fiifi Danso - 1/3</v>
      </c>
    </row>
    <row r="10">
      <c r="A10" s="3" t="s">
        <v>159</v>
      </c>
      <c r="B10" s="3" t="s">
        <v>160</v>
      </c>
      <c r="C10" s="3">
        <v>2.0</v>
      </c>
      <c r="D10" s="3">
        <v>0.0</v>
      </c>
      <c r="E10" s="17">
        <v>3.0</v>
      </c>
      <c r="F10" s="54">
        <v>150.0</v>
      </c>
      <c r="G10" s="55"/>
      <c r="H10" s="17">
        <v>1.0</v>
      </c>
      <c r="I10" s="5" t="str">
        <f t="shared" si="1"/>
        <v>1/2</v>
      </c>
      <c r="J10" s="3">
        <f t="shared" si="2"/>
        <v>1</v>
      </c>
      <c r="L10" s="27" t="str">
        <f>1+#REF!</f>
        <v>#REF!</v>
      </c>
      <c r="M10" s="27" t="str">
        <f t="shared" si="3"/>
        <v>#REF!</v>
      </c>
    </row>
    <row r="11">
      <c r="A11" s="3" t="s">
        <v>161</v>
      </c>
      <c r="B11" s="28" t="s">
        <v>162</v>
      </c>
      <c r="C11" s="3">
        <v>7.0</v>
      </c>
      <c r="D11" s="3">
        <v>0.0</v>
      </c>
      <c r="E11" s="3">
        <v>20.0</v>
      </c>
      <c r="F11" s="54">
        <v>208.0</v>
      </c>
      <c r="G11" s="55"/>
      <c r="H11" s="17">
        <v>6.0</v>
      </c>
      <c r="I11" s="5" t="str">
        <f t="shared" si="1"/>
        <v>6/7</v>
      </c>
      <c r="J11" s="3">
        <f t="shared" si="2"/>
        <v>1</v>
      </c>
      <c r="L11" s="26">
        <v>1.0</v>
      </c>
      <c r="M11" s="27" t="str">
        <f t="shared" si="3"/>
        <v>1. Yves Mensah - 6/7</v>
      </c>
    </row>
    <row r="12">
      <c r="A12" s="20" t="s">
        <v>42</v>
      </c>
      <c r="B12" s="21"/>
      <c r="C12" s="21">
        <f>SUM(C3:C11)</f>
        <v>32</v>
      </c>
      <c r="D12" s="21">
        <f>SUM(D11)</f>
        <v>0</v>
      </c>
      <c r="E12" s="21">
        <f t="shared" ref="E12:H12" si="4">SUM(E3:E11)</f>
        <v>82</v>
      </c>
      <c r="F12" s="22">
        <f t="shared" si="4"/>
        <v>3726</v>
      </c>
      <c r="G12" s="21">
        <f t="shared" si="4"/>
        <v>0</v>
      </c>
      <c r="H12" s="21">
        <f t="shared" si="4"/>
        <v>19</v>
      </c>
      <c r="I12" s="23" t="str">
        <f t="shared" si="1"/>
        <v>19/32</v>
      </c>
      <c r="J12" s="21">
        <f>SUM(J3:J11)</f>
        <v>13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</sheetData>
  <autoFilter ref="$A$2:$J$12"/>
  <mergeCells count="1">
    <mergeCell ref="A1:F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163</v>
      </c>
      <c r="B3" s="3" t="s">
        <v>164</v>
      </c>
      <c r="C3" s="3">
        <v>3.0</v>
      </c>
      <c r="D3" s="3">
        <v>0.0</v>
      </c>
      <c r="E3" s="17">
        <v>9.0</v>
      </c>
      <c r="F3" s="17">
        <v>75.0</v>
      </c>
      <c r="G3" s="17"/>
      <c r="H3" s="17">
        <v>3.0</v>
      </c>
      <c r="I3" s="5" t="str">
        <f t="shared" ref="I3:I13" si="1">CONCATENATE(H3,"/",C3)</f>
        <v>3/3</v>
      </c>
      <c r="J3" s="3">
        <f t="shared" ref="J3:J12" si="2">C3-H3</f>
        <v>0</v>
      </c>
      <c r="L3" s="27" t="str">
        <f>1+#REF!</f>
        <v>#REF!</v>
      </c>
      <c r="M3" s="27" t="str">
        <f>CONCATENATE(L3,". ",B3," - ",I3)</f>
        <v>#REF!</v>
      </c>
    </row>
    <row r="4">
      <c r="A4" s="3" t="s">
        <v>165</v>
      </c>
      <c r="B4" s="3" t="s">
        <v>166</v>
      </c>
      <c r="C4" s="3">
        <v>1.0</v>
      </c>
      <c r="D4" s="3"/>
      <c r="E4" s="17">
        <v>11.0</v>
      </c>
      <c r="F4" s="17">
        <v>40.0</v>
      </c>
      <c r="G4" s="17"/>
      <c r="H4" s="17">
        <v>3.0</v>
      </c>
      <c r="I4" s="5" t="str">
        <f t="shared" si="1"/>
        <v>3/1</v>
      </c>
      <c r="J4" s="3">
        <f t="shared" si="2"/>
        <v>-2</v>
      </c>
    </row>
    <row r="5">
      <c r="A5" s="3" t="s">
        <v>167</v>
      </c>
      <c r="B5" s="3" t="s">
        <v>168</v>
      </c>
      <c r="C5" s="3">
        <v>2.0</v>
      </c>
      <c r="D5" s="3"/>
      <c r="E5" s="17">
        <v>11.0</v>
      </c>
      <c r="F5" s="17">
        <v>65.0</v>
      </c>
      <c r="G5" s="17"/>
      <c r="H5" s="17">
        <v>3.0</v>
      </c>
      <c r="I5" s="5" t="str">
        <f t="shared" si="1"/>
        <v>3/2</v>
      </c>
      <c r="J5" s="3">
        <f t="shared" si="2"/>
        <v>-1</v>
      </c>
    </row>
    <row r="6">
      <c r="A6" s="3" t="s">
        <v>169</v>
      </c>
      <c r="B6" s="28" t="s">
        <v>170</v>
      </c>
      <c r="C6" s="3">
        <v>4.0</v>
      </c>
      <c r="D6" s="3"/>
      <c r="E6" s="17">
        <v>15.0</v>
      </c>
      <c r="F6" s="17">
        <v>99.0</v>
      </c>
      <c r="G6" s="17"/>
      <c r="H6" s="17">
        <v>3.0</v>
      </c>
      <c r="I6" s="5" t="str">
        <f t="shared" si="1"/>
        <v>3/4</v>
      </c>
      <c r="J6" s="3">
        <f t="shared" si="2"/>
        <v>1</v>
      </c>
    </row>
    <row r="7">
      <c r="A7" s="3" t="s">
        <v>171</v>
      </c>
      <c r="B7" s="3" t="s">
        <v>172</v>
      </c>
      <c r="C7" s="3">
        <v>1.0</v>
      </c>
      <c r="D7" s="3"/>
      <c r="E7" s="17">
        <v>6.0</v>
      </c>
      <c r="F7" s="17">
        <v>18.0</v>
      </c>
      <c r="G7" s="17"/>
      <c r="H7" s="17">
        <v>1.0</v>
      </c>
      <c r="I7" s="5" t="str">
        <f t="shared" si="1"/>
        <v>1/1</v>
      </c>
      <c r="J7" s="3">
        <f t="shared" si="2"/>
        <v>0</v>
      </c>
    </row>
    <row r="8">
      <c r="A8" s="3" t="s">
        <v>173</v>
      </c>
      <c r="B8" s="3" t="s">
        <v>174</v>
      </c>
      <c r="C8" s="3">
        <v>3.0</v>
      </c>
      <c r="D8" s="3"/>
      <c r="E8" s="17">
        <v>4.0</v>
      </c>
      <c r="F8" s="17">
        <v>32.0</v>
      </c>
      <c r="G8" s="17"/>
      <c r="H8" s="17">
        <v>1.0</v>
      </c>
      <c r="I8" s="5" t="str">
        <f t="shared" si="1"/>
        <v>1/3</v>
      </c>
      <c r="J8" s="3">
        <f t="shared" si="2"/>
        <v>2</v>
      </c>
    </row>
    <row r="9">
      <c r="A9" s="3" t="s">
        <v>175</v>
      </c>
      <c r="B9" s="36" t="s">
        <v>176</v>
      </c>
      <c r="C9" s="3">
        <v>2.0</v>
      </c>
      <c r="D9" s="3"/>
      <c r="E9" s="17">
        <v>139.0</v>
      </c>
      <c r="F9" s="17">
        <v>7004.8</v>
      </c>
      <c r="G9" s="17"/>
      <c r="H9" s="17">
        <v>3.0</v>
      </c>
      <c r="I9" s="5" t="str">
        <f t="shared" si="1"/>
        <v>3/2</v>
      </c>
      <c r="J9" s="3">
        <f t="shared" si="2"/>
        <v>-1</v>
      </c>
    </row>
    <row r="10">
      <c r="A10" s="3" t="s">
        <v>177</v>
      </c>
      <c r="B10" s="3" t="s">
        <v>178</v>
      </c>
      <c r="C10" s="3">
        <v>4.0</v>
      </c>
      <c r="D10" s="3"/>
      <c r="E10" s="17">
        <v>14.0</v>
      </c>
      <c r="F10" s="17">
        <v>100.0</v>
      </c>
      <c r="G10" s="17"/>
      <c r="H10" s="17">
        <v>3.0</v>
      </c>
      <c r="I10" s="5" t="str">
        <f t="shared" si="1"/>
        <v>3/4</v>
      </c>
      <c r="J10" s="3">
        <f t="shared" si="2"/>
        <v>1</v>
      </c>
    </row>
    <row r="11">
      <c r="A11" s="3" t="s">
        <v>179</v>
      </c>
      <c r="B11" s="3" t="s">
        <v>180</v>
      </c>
      <c r="C11" s="3">
        <v>2.0</v>
      </c>
      <c r="D11" s="3">
        <v>0.0</v>
      </c>
      <c r="E11" s="17">
        <v>10.0</v>
      </c>
      <c r="F11" s="17">
        <v>127.0</v>
      </c>
      <c r="G11" s="17"/>
      <c r="H11" s="17">
        <v>2.0</v>
      </c>
      <c r="I11" s="5" t="str">
        <f t="shared" si="1"/>
        <v>2/2</v>
      </c>
      <c r="J11" s="3">
        <f t="shared" si="2"/>
        <v>0</v>
      </c>
      <c r="L11" s="27" t="str">
        <f t="shared" ref="L11:L12" si="3">1+#REF!</f>
        <v>#REF!</v>
      </c>
      <c r="M11" s="27" t="str">
        <f t="shared" ref="M11:M12" si="4">CONCATENATE(L11,". ",B11," - ",I11)</f>
        <v>#REF!</v>
      </c>
    </row>
    <row r="12">
      <c r="A12" s="3" t="s">
        <v>181</v>
      </c>
      <c r="B12" s="3" t="s">
        <v>182</v>
      </c>
      <c r="C12" s="3">
        <v>3.0</v>
      </c>
      <c r="D12" s="3">
        <v>1.0</v>
      </c>
      <c r="E12" s="17">
        <v>13.0</v>
      </c>
      <c r="F12" s="17">
        <v>75.0</v>
      </c>
      <c r="G12" s="17"/>
      <c r="H12" s="17">
        <v>3.0</v>
      </c>
      <c r="I12" s="5" t="str">
        <f t="shared" si="1"/>
        <v>3/3</v>
      </c>
      <c r="J12" s="3">
        <f t="shared" si="2"/>
        <v>0</v>
      </c>
      <c r="L12" s="27" t="str">
        <f t="shared" si="3"/>
        <v>#REF!</v>
      </c>
      <c r="M12" s="27" t="str">
        <f t="shared" si="4"/>
        <v>#REF!</v>
      </c>
    </row>
    <row r="13">
      <c r="A13" s="20" t="s">
        <v>42</v>
      </c>
      <c r="B13" s="21"/>
      <c r="C13" s="21">
        <f t="shared" ref="C13:H13" si="5">SUM(C3:C12)</f>
        <v>25</v>
      </c>
      <c r="D13" s="21">
        <f t="shared" si="5"/>
        <v>1</v>
      </c>
      <c r="E13" s="21">
        <f t="shared" si="5"/>
        <v>232</v>
      </c>
      <c r="F13" s="21">
        <f t="shared" si="5"/>
        <v>7635.8</v>
      </c>
      <c r="G13" s="21">
        <f t="shared" si="5"/>
        <v>0</v>
      </c>
      <c r="H13" s="21">
        <f t="shared" si="5"/>
        <v>25</v>
      </c>
      <c r="I13" s="23" t="str">
        <f t="shared" si="1"/>
        <v>25/25</v>
      </c>
      <c r="J13" s="21">
        <f>SUM(J3:J12)</f>
        <v>0</v>
      </c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</sheetData>
  <autoFilter ref="$A$2:$J$13"/>
  <mergeCells count="1">
    <mergeCell ref="A1:F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9.75"/>
    <col customWidth="1" hidden="1" min="8" max="8" width="15.63"/>
    <col customWidth="1" min="9" max="9" width="15.63"/>
    <col customWidth="1" min="10" max="10" width="17.88"/>
    <col customWidth="1" min="11" max="11" width="18.13"/>
  </cols>
  <sheetData>
    <row r="1">
      <c r="A1" s="12" t="s">
        <v>34</v>
      </c>
      <c r="B1" s="13"/>
      <c r="C1" s="13"/>
      <c r="D1" s="13"/>
      <c r="E1" s="13"/>
      <c r="F1" s="14"/>
      <c r="G1" s="15"/>
      <c r="H1" s="16"/>
      <c r="I1" s="16"/>
      <c r="J1" s="16"/>
      <c r="K1" s="1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2"/>
      <c r="H2" s="1" t="s">
        <v>5</v>
      </c>
      <c r="I2" s="1" t="s">
        <v>6</v>
      </c>
      <c r="J2" s="1" t="s">
        <v>7</v>
      </c>
      <c r="K2" s="1" t="s">
        <v>8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3" t="s">
        <v>183</v>
      </c>
      <c r="B3" s="3" t="s">
        <v>184</v>
      </c>
      <c r="C3" s="3">
        <v>1.0</v>
      </c>
      <c r="D3" s="3">
        <v>4.0</v>
      </c>
      <c r="E3" s="17">
        <v>0.0</v>
      </c>
      <c r="F3" s="17">
        <v>0.0</v>
      </c>
      <c r="G3" s="17"/>
      <c r="H3" s="17"/>
      <c r="I3" s="17">
        <v>0.0</v>
      </c>
      <c r="J3" s="5" t="str">
        <f t="shared" ref="J3:J10" si="1">CONCATENATE(I3,"/",C3)</f>
        <v>0/1</v>
      </c>
      <c r="K3" s="3">
        <f t="shared" ref="K3:K9" si="2">C3-I3</f>
        <v>1</v>
      </c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</row>
    <row r="4">
      <c r="A4" s="3" t="s">
        <v>185</v>
      </c>
      <c r="B4" s="3" t="s">
        <v>186</v>
      </c>
      <c r="C4" s="3">
        <v>1.0</v>
      </c>
      <c r="D4" s="3"/>
      <c r="E4" s="17">
        <v>0.0</v>
      </c>
      <c r="F4" s="17">
        <v>0.0</v>
      </c>
      <c r="G4" s="17"/>
      <c r="H4" s="17"/>
      <c r="I4" s="17">
        <v>0.0</v>
      </c>
      <c r="J4" s="5" t="str">
        <f t="shared" si="1"/>
        <v>0/1</v>
      </c>
      <c r="K4" s="3">
        <f t="shared" si="2"/>
        <v>1</v>
      </c>
    </row>
    <row r="5">
      <c r="A5" s="3" t="s">
        <v>187</v>
      </c>
      <c r="B5" s="3" t="s">
        <v>188</v>
      </c>
      <c r="C5" s="3">
        <v>2.0</v>
      </c>
      <c r="D5" s="3"/>
      <c r="E5" s="17">
        <v>0.0</v>
      </c>
      <c r="F5" s="17">
        <v>0.0</v>
      </c>
      <c r="G5" s="17"/>
      <c r="H5" s="17"/>
      <c r="I5" s="17">
        <v>0.0</v>
      </c>
      <c r="J5" s="5" t="str">
        <f t="shared" si="1"/>
        <v>0/2</v>
      </c>
      <c r="K5" s="3">
        <f t="shared" si="2"/>
        <v>2</v>
      </c>
    </row>
    <row r="6">
      <c r="A6" s="3" t="s">
        <v>189</v>
      </c>
      <c r="B6" s="3" t="s">
        <v>190</v>
      </c>
      <c r="C6" s="3">
        <v>7.0</v>
      </c>
      <c r="D6" s="3">
        <v>4.0</v>
      </c>
      <c r="E6" s="17">
        <v>0.0</v>
      </c>
      <c r="F6" s="17">
        <v>0.0</v>
      </c>
      <c r="G6" s="17"/>
      <c r="H6" s="17"/>
      <c r="I6" s="17">
        <v>0.0</v>
      </c>
      <c r="J6" s="5" t="str">
        <f t="shared" si="1"/>
        <v>0/7</v>
      </c>
      <c r="K6" s="3">
        <f t="shared" si="2"/>
        <v>7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</row>
    <row r="7">
      <c r="A7" s="3" t="s">
        <v>191</v>
      </c>
      <c r="B7" s="3" t="s">
        <v>192</v>
      </c>
      <c r="C7" s="3">
        <v>3.0</v>
      </c>
      <c r="D7" s="3">
        <v>0.0</v>
      </c>
      <c r="E7" s="17">
        <v>0.0</v>
      </c>
      <c r="F7" s="17">
        <v>0.0</v>
      </c>
      <c r="G7" s="17"/>
      <c r="H7" s="17"/>
      <c r="I7" s="17">
        <v>0.0</v>
      </c>
      <c r="J7" s="5" t="str">
        <f t="shared" si="1"/>
        <v>0/3</v>
      </c>
      <c r="K7" s="3">
        <f t="shared" si="2"/>
        <v>3</v>
      </c>
    </row>
    <row r="8">
      <c r="A8" s="3" t="s">
        <v>193</v>
      </c>
      <c r="B8" s="3" t="s">
        <v>17</v>
      </c>
      <c r="C8" s="3">
        <v>6.0</v>
      </c>
      <c r="D8" s="3">
        <v>0.0</v>
      </c>
      <c r="E8" s="3">
        <v>66.0</v>
      </c>
      <c r="F8" s="17">
        <v>1683.0</v>
      </c>
      <c r="G8" s="17"/>
      <c r="H8" s="17"/>
      <c r="I8" s="17">
        <v>1.0</v>
      </c>
      <c r="J8" s="5" t="str">
        <f t="shared" si="1"/>
        <v>1/6</v>
      </c>
      <c r="K8" s="3">
        <f t="shared" si="2"/>
        <v>5</v>
      </c>
      <c r="L8" s="26" t="s">
        <v>194</v>
      </c>
    </row>
    <row r="9">
      <c r="A9" s="3" t="s">
        <v>195</v>
      </c>
      <c r="B9" s="3" t="s">
        <v>196</v>
      </c>
      <c r="C9" s="3">
        <v>4.0</v>
      </c>
      <c r="D9" s="3">
        <v>5.0</v>
      </c>
      <c r="E9" s="17">
        <v>0.0</v>
      </c>
      <c r="F9" s="17">
        <v>0.0</v>
      </c>
      <c r="G9" s="17"/>
      <c r="H9" s="17"/>
      <c r="I9" s="17">
        <v>0.0</v>
      </c>
      <c r="J9" s="5" t="str">
        <f t="shared" si="1"/>
        <v>0/4</v>
      </c>
      <c r="K9" s="3">
        <f t="shared" si="2"/>
        <v>4</v>
      </c>
    </row>
    <row r="10">
      <c r="A10" s="20" t="s">
        <v>42</v>
      </c>
      <c r="B10" s="21"/>
      <c r="C10" s="21">
        <f>SUM(C3:C9)</f>
        <v>24</v>
      </c>
      <c r="D10" s="21">
        <f>SUM(D5:D9)</f>
        <v>9</v>
      </c>
      <c r="E10" s="21">
        <f t="shared" ref="E10:G10" si="3">SUM(E3:E9)</f>
        <v>66</v>
      </c>
      <c r="F10" s="21">
        <f t="shared" si="3"/>
        <v>1683</v>
      </c>
      <c r="G10" s="21">
        <f t="shared" si="3"/>
        <v>0</v>
      </c>
      <c r="H10" s="21">
        <f>SUM(H5:H9)</f>
        <v>0</v>
      </c>
      <c r="I10" s="21">
        <f>SUM(I3:I9)</f>
        <v>1</v>
      </c>
      <c r="J10" s="23" t="str">
        <f t="shared" si="1"/>
        <v>1/24</v>
      </c>
      <c r="K10" s="21">
        <f>SUM(K5:K9)</f>
        <v>21</v>
      </c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>
      <c r="F11" s="11"/>
      <c r="G11" s="11"/>
    </row>
    <row r="12">
      <c r="F12" s="11"/>
      <c r="G12" s="11"/>
    </row>
    <row r="13">
      <c r="F13" s="11"/>
      <c r="G13" s="11"/>
    </row>
    <row r="14">
      <c r="F14" s="11"/>
      <c r="G14" s="11"/>
    </row>
    <row r="15">
      <c r="F15" s="11"/>
      <c r="G15" s="11"/>
    </row>
    <row r="16">
      <c r="F16" s="11"/>
      <c r="G16" s="11"/>
    </row>
    <row r="17">
      <c r="F17" s="11"/>
      <c r="G17" s="11"/>
    </row>
    <row r="18">
      <c r="F18" s="11"/>
      <c r="G18" s="11"/>
    </row>
    <row r="19">
      <c r="F19" s="11"/>
      <c r="G19" s="11"/>
    </row>
    <row r="20">
      <c r="F20" s="11"/>
      <c r="G20" s="11"/>
    </row>
    <row r="21">
      <c r="F21" s="11"/>
      <c r="G21" s="11"/>
    </row>
    <row r="22">
      <c r="F22" s="11"/>
      <c r="G22" s="11"/>
    </row>
    <row r="23">
      <c r="F23" s="11"/>
      <c r="G23" s="11"/>
    </row>
    <row r="24">
      <c r="F24" s="11"/>
      <c r="G24" s="11"/>
    </row>
    <row r="25">
      <c r="F25" s="11"/>
      <c r="G25" s="11"/>
    </row>
    <row r="26">
      <c r="F26" s="11"/>
      <c r="G26" s="11"/>
    </row>
    <row r="27">
      <c r="F27" s="11"/>
      <c r="G27" s="11"/>
    </row>
    <row r="28">
      <c r="F28" s="11"/>
      <c r="G28" s="11"/>
    </row>
    <row r="29">
      <c r="F29" s="11"/>
      <c r="G29" s="11"/>
    </row>
    <row r="30">
      <c r="F30" s="11"/>
      <c r="G30" s="11"/>
    </row>
    <row r="31">
      <c r="F31" s="11"/>
      <c r="G31" s="11"/>
    </row>
    <row r="32">
      <c r="F32" s="11"/>
      <c r="G32" s="11"/>
    </row>
    <row r="33">
      <c r="F33" s="11"/>
      <c r="G33" s="11"/>
    </row>
    <row r="34">
      <c r="F34" s="11"/>
      <c r="G34" s="11"/>
    </row>
    <row r="35">
      <c r="F35" s="11"/>
      <c r="G35" s="11"/>
    </row>
    <row r="36">
      <c r="F36" s="11"/>
      <c r="G36" s="11"/>
    </row>
    <row r="37">
      <c r="F37" s="11"/>
      <c r="G37" s="11"/>
    </row>
    <row r="38">
      <c r="F38" s="11"/>
      <c r="G38" s="11"/>
    </row>
    <row r="39">
      <c r="F39" s="11"/>
      <c r="G39" s="11"/>
    </row>
    <row r="40">
      <c r="F40" s="11"/>
      <c r="G40" s="11"/>
    </row>
    <row r="41">
      <c r="F41" s="11"/>
      <c r="G41" s="11"/>
    </row>
    <row r="42">
      <c r="F42" s="11"/>
      <c r="G42" s="11"/>
    </row>
    <row r="43">
      <c r="F43" s="11"/>
      <c r="G43" s="11"/>
    </row>
    <row r="44">
      <c r="F44" s="11"/>
      <c r="G44" s="11"/>
    </row>
    <row r="45">
      <c r="F45" s="11"/>
      <c r="G45" s="11"/>
    </row>
    <row r="46">
      <c r="F46" s="11"/>
      <c r="G46" s="11"/>
    </row>
    <row r="47">
      <c r="F47" s="11"/>
      <c r="G47" s="11"/>
    </row>
    <row r="48">
      <c r="F48" s="11"/>
      <c r="G48" s="11"/>
    </row>
    <row r="49">
      <c r="F49" s="11"/>
      <c r="G49" s="11"/>
    </row>
    <row r="50">
      <c r="F50" s="11"/>
      <c r="G50" s="11"/>
    </row>
    <row r="51">
      <c r="F51" s="11"/>
      <c r="G51" s="11"/>
    </row>
    <row r="52">
      <c r="F52" s="11"/>
      <c r="G52" s="11"/>
    </row>
    <row r="53">
      <c r="F53" s="11"/>
      <c r="G53" s="11"/>
    </row>
    <row r="54">
      <c r="F54" s="11"/>
      <c r="G54" s="11"/>
    </row>
    <row r="55">
      <c r="F55" s="11"/>
      <c r="G55" s="11"/>
    </row>
    <row r="56">
      <c r="F56" s="11"/>
      <c r="G56" s="11"/>
    </row>
    <row r="57">
      <c r="F57" s="11"/>
      <c r="G57" s="11"/>
    </row>
    <row r="58">
      <c r="F58" s="11"/>
      <c r="G58" s="11"/>
    </row>
    <row r="59">
      <c r="F59" s="11"/>
      <c r="G59" s="11"/>
    </row>
    <row r="60">
      <c r="F60" s="11"/>
      <c r="G60" s="11"/>
    </row>
    <row r="61">
      <c r="F61" s="11"/>
      <c r="G61" s="11"/>
    </row>
    <row r="62">
      <c r="F62" s="11"/>
      <c r="G62" s="11"/>
    </row>
    <row r="63">
      <c r="F63" s="11"/>
      <c r="G63" s="11"/>
    </row>
    <row r="64">
      <c r="F64" s="11"/>
      <c r="G64" s="11"/>
    </row>
    <row r="65">
      <c r="F65" s="11"/>
      <c r="G65" s="11"/>
    </row>
    <row r="66">
      <c r="F66" s="11"/>
      <c r="G66" s="11"/>
    </row>
    <row r="67">
      <c r="F67" s="11"/>
      <c r="G67" s="11"/>
    </row>
    <row r="68">
      <c r="F68" s="11"/>
      <c r="G68" s="11"/>
    </row>
    <row r="69">
      <c r="F69" s="11"/>
      <c r="G69" s="11"/>
    </row>
    <row r="70">
      <c r="F70" s="11"/>
      <c r="G70" s="11"/>
    </row>
    <row r="71">
      <c r="F71" s="11"/>
      <c r="G71" s="11"/>
    </row>
    <row r="72">
      <c r="F72" s="11"/>
      <c r="G72" s="11"/>
    </row>
    <row r="73">
      <c r="F73" s="11"/>
      <c r="G73" s="11"/>
    </row>
    <row r="74">
      <c r="F74" s="11"/>
      <c r="G74" s="11"/>
    </row>
    <row r="75">
      <c r="F75" s="11"/>
      <c r="G75" s="11"/>
    </row>
    <row r="76">
      <c r="F76" s="11"/>
      <c r="G76" s="11"/>
    </row>
    <row r="77">
      <c r="F77" s="11"/>
      <c r="G77" s="11"/>
    </row>
    <row r="78">
      <c r="F78" s="11"/>
      <c r="G78" s="11"/>
    </row>
    <row r="79">
      <c r="F79" s="11"/>
      <c r="G79" s="11"/>
    </row>
    <row r="80">
      <c r="F80" s="11"/>
      <c r="G80" s="11"/>
    </row>
    <row r="81">
      <c r="F81" s="11"/>
      <c r="G81" s="11"/>
    </row>
    <row r="82">
      <c r="F82" s="11"/>
      <c r="G82" s="11"/>
    </row>
    <row r="83">
      <c r="F83" s="11"/>
      <c r="G83" s="11"/>
    </row>
    <row r="84">
      <c r="F84" s="11"/>
      <c r="G84" s="11"/>
    </row>
    <row r="85">
      <c r="F85" s="11"/>
      <c r="G85" s="11"/>
    </row>
    <row r="86">
      <c r="F86" s="11"/>
      <c r="G86" s="11"/>
    </row>
    <row r="87">
      <c r="F87" s="11"/>
      <c r="G87" s="11"/>
    </row>
    <row r="88">
      <c r="F88" s="11"/>
      <c r="G88" s="11"/>
    </row>
    <row r="89">
      <c r="F89" s="11"/>
      <c r="G89" s="11"/>
    </row>
    <row r="90">
      <c r="F90" s="11"/>
      <c r="G90" s="11"/>
    </row>
    <row r="91">
      <c r="F91" s="11"/>
      <c r="G91" s="11"/>
    </row>
    <row r="92">
      <c r="F92" s="11"/>
      <c r="G92" s="11"/>
    </row>
    <row r="93">
      <c r="F93" s="11"/>
      <c r="G93" s="11"/>
    </row>
    <row r="94">
      <c r="F94" s="11"/>
      <c r="G94" s="11"/>
    </row>
    <row r="95">
      <c r="F95" s="11"/>
      <c r="G95" s="11"/>
    </row>
    <row r="96">
      <c r="F96" s="11"/>
      <c r="G96" s="11"/>
    </row>
    <row r="97">
      <c r="F97" s="11"/>
      <c r="G97" s="11"/>
    </row>
    <row r="98">
      <c r="F98" s="11"/>
      <c r="G98" s="11"/>
    </row>
    <row r="99">
      <c r="F99" s="11"/>
      <c r="G99" s="11"/>
    </row>
    <row r="100">
      <c r="F100" s="11"/>
      <c r="G100" s="11"/>
    </row>
    <row r="101">
      <c r="F101" s="11"/>
      <c r="G101" s="11"/>
    </row>
    <row r="102">
      <c r="F102" s="11"/>
      <c r="G102" s="11"/>
    </row>
    <row r="103">
      <c r="F103" s="11"/>
      <c r="G103" s="11"/>
    </row>
    <row r="104">
      <c r="F104" s="11"/>
      <c r="G104" s="11"/>
    </row>
    <row r="105">
      <c r="F105" s="11"/>
      <c r="G105" s="11"/>
    </row>
    <row r="106">
      <c r="F106" s="11"/>
      <c r="G106" s="11"/>
    </row>
    <row r="107">
      <c r="F107" s="11"/>
      <c r="G107" s="11"/>
    </row>
    <row r="108">
      <c r="F108" s="11"/>
      <c r="G108" s="11"/>
    </row>
    <row r="109">
      <c r="F109" s="11"/>
      <c r="G109" s="11"/>
    </row>
    <row r="110">
      <c r="F110" s="11"/>
      <c r="G110" s="11"/>
    </row>
    <row r="111">
      <c r="F111" s="11"/>
      <c r="G111" s="11"/>
    </row>
    <row r="112">
      <c r="F112" s="11"/>
      <c r="G112" s="11"/>
    </row>
    <row r="113">
      <c r="F113" s="11"/>
      <c r="G113" s="11"/>
    </row>
    <row r="114">
      <c r="F114" s="11"/>
      <c r="G114" s="11"/>
    </row>
    <row r="115">
      <c r="F115" s="11"/>
      <c r="G115" s="11"/>
    </row>
    <row r="116">
      <c r="F116" s="11"/>
      <c r="G116" s="11"/>
    </row>
    <row r="117">
      <c r="F117" s="11"/>
      <c r="G117" s="11"/>
    </row>
    <row r="118">
      <c r="F118" s="11"/>
      <c r="G118" s="11"/>
    </row>
    <row r="119">
      <c r="F119" s="11"/>
      <c r="G119" s="11"/>
    </row>
    <row r="120">
      <c r="F120" s="11"/>
      <c r="G120" s="11"/>
    </row>
    <row r="121">
      <c r="F121" s="11"/>
      <c r="G121" s="11"/>
    </row>
    <row r="122">
      <c r="F122" s="11"/>
      <c r="G122" s="11"/>
    </row>
    <row r="123">
      <c r="F123" s="11"/>
      <c r="G123" s="11"/>
    </row>
    <row r="124">
      <c r="F124" s="11"/>
      <c r="G124" s="11"/>
    </row>
    <row r="125">
      <c r="F125" s="11"/>
      <c r="G125" s="11"/>
    </row>
    <row r="126">
      <c r="F126" s="11"/>
      <c r="G126" s="11"/>
    </row>
    <row r="127">
      <c r="F127" s="11"/>
      <c r="G127" s="11"/>
    </row>
    <row r="128">
      <c r="F128" s="11"/>
      <c r="G128" s="11"/>
    </row>
    <row r="129">
      <c r="F129" s="11"/>
      <c r="G129" s="11"/>
    </row>
    <row r="130">
      <c r="F130" s="11"/>
      <c r="G130" s="11"/>
    </row>
    <row r="131">
      <c r="F131" s="11"/>
      <c r="G131" s="11"/>
    </row>
    <row r="132">
      <c r="F132" s="11"/>
      <c r="G132" s="11"/>
    </row>
    <row r="133">
      <c r="F133" s="11"/>
      <c r="G133" s="11"/>
    </row>
    <row r="134">
      <c r="F134" s="11"/>
      <c r="G134" s="11"/>
    </row>
    <row r="135">
      <c r="F135" s="11"/>
      <c r="G135" s="11"/>
    </row>
    <row r="136">
      <c r="F136" s="11"/>
      <c r="G136" s="11"/>
    </row>
    <row r="137">
      <c r="F137" s="11"/>
      <c r="G137" s="11"/>
    </row>
    <row r="138">
      <c r="F138" s="11"/>
      <c r="G138" s="11"/>
    </row>
    <row r="139">
      <c r="F139" s="11"/>
      <c r="G139" s="11"/>
    </row>
    <row r="140">
      <c r="F140" s="11"/>
      <c r="G140" s="11"/>
    </row>
    <row r="141">
      <c r="F141" s="11"/>
      <c r="G141" s="11"/>
    </row>
    <row r="142">
      <c r="F142" s="11"/>
      <c r="G142" s="11"/>
    </row>
    <row r="143">
      <c r="F143" s="11"/>
      <c r="G143" s="11"/>
    </row>
    <row r="144">
      <c r="F144" s="11"/>
      <c r="G144" s="11"/>
    </row>
    <row r="145">
      <c r="F145" s="11"/>
      <c r="G145" s="11"/>
    </row>
    <row r="146">
      <c r="F146" s="11"/>
      <c r="G146" s="11"/>
    </row>
    <row r="147">
      <c r="F147" s="11"/>
      <c r="G147" s="11"/>
    </row>
    <row r="148">
      <c r="F148" s="11"/>
      <c r="G148" s="11"/>
    </row>
    <row r="149">
      <c r="F149" s="11"/>
      <c r="G149" s="11"/>
    </row>
    <row r="150">
      <c r="F150" s="11"/>
      <c r="G150" s="11"/>
    </row>
    <row r="151">
      <c r="F151" s="11"/>
      <c r="G151" s="11"/>
    </row>
    <row r="152">
      <c r="F152" s="11"/>
      <c r="G152" s="11"/>
    </row>
    <row r="153">
      <c r="F153" s="11"/>
      <c r="G153" s="11"/>
    </row>
    <row r="154">
      <c r="F154" s="11"/>
      <c r="G154" s="11"/>
    </row>
    <row r="155">
      <c r="F155" s="11"/>
      <c r="G155" s="11"/>
    </row>
    <row r="156">
      <c r="F156" s="11"/>
      <c r="G156" s="11"/>
    </row>
    <row r="157">
      <c r="F157" s="11"/>
      <c r="G157" s="11"/>
    </row>
    <row r="158">
      <c r="F158" s="11"/>
      <c r="G158" s="11"/>
    </row>
    <row r="159">
      <c r="F159" s="11"/>
      <c r="G159" s="11"/>
    </row>
    <row r="160">
      <c r="F160" s="11"/>
      <c r="G160" s="11"/>
    </row>
    <row r="161">
      <c r="F161" s="11"/>
      <c r="G161" s="11"/>
    </row>
    <row r="162">
      <c r="F162" s="11"/>
      <c r="G162" s="11"/>
    </row>
    <row r="163">
      <c r="F163" s="11"/>
      <c r="G163" s="11"/>
    </row>
    <row r="164">
      <c r="F164" s="11"/>
      <c r="G164" s="11"/>
    </row>
    <row r="165">
      <c r="F165" s="11"/>
      <c r="G165" s="11"/>
    </row>
    <row r="166">
      <c r="F166" s="11"/>
      <c r="G166" s="11"/>
    </row>
    <row r="167">
      <c r="F167" s="11"/>
      <c r="G167" s="11"/>
    </row>
    <row r="168">
      <c r="F168" s="11"/>
      <c r="G168" s="11"/>
    </row>
    <row r="169">
      <c r="F169" s="11"/>
      <c r="G169" s="11"/>
    </row>
    <row r="170">
      <c r="F170" s="11"/>
      <c r="G170" s="11"/>
    </row>
    <row r="171">
      <c r="F171" s="11"/>
      <c r="G171" s="11"/>
    </row>
    <row r="172">
      <c r="F172" s="11"/>
      <c r="G172" s="11"/>
    </row>
    <row r="173">
      <c r="F173" s="11"/>
      <c r="G173" s="11"/>
    </row>
    <row r="174">
      <c r="F174" s="11"/>
      <c r="G174" s="11"/>
    </row>
    <row r="175">
      <c r="F175" s="11"/>
      <c r="G175" s="11"/>
    </row>
    <row r="176">
      <c r="F176" s="11"/>
      <c r="G176" s="11"/>
    </row>
    <row r="177">
      <c r="F177" s="11"/>
      <c r="G177" s="11"/>
    </row>
    <row r="178">
      <c r="F178" s="11"/>
      <c r="G178" s="11"/>
    </row>
    <row r="179">
      <c r="F179" s="11"/>
      <c r="G179" s="11"/>
    </row>
    <row r="180">
      <c r="F180" s="11"/>
      <c r="G180" s="11"/>
    </row>
    <row r="181">
      <c r="F181" s="11"/>
      <c r="G181" s="11"/>
    </row>
    <row r="182">
      <c r="F182" s="11"/>
      <c r="G182" s="11"/>
    </row>
    <row r="183">
      <c r="F183" s="11"/>
      <c r="G183" s="11"/>
    </row>
    <row r="184">
      <c r="F184" s="11"/>
      <c r="G184" s="11"/>
    </row>
    <row r="185">
      <c r="F185" s="11"/>
      <c r="G185" s="11"/>
    </row>
    <row r="186">
      <c r="F186" s="11"/>
      <c r="G186" s="11"/>
    </row>
    <row r="187">
      <c r="F187" s="11"/>
      <c r="G187" s="11"/>
    </row>
    <row r="188">
      <c r="F188" s="11"/>
      <c r="G188" s="11"/>
    </row>
    <row r="189">
      <c r="F189" s="11"/>
      <c r="G189" s="11"/>
    </row>
    <row r="190">
      <c r="F190" s="11"/>
      <c r="G190" s="11"/>
    </row>
    <row r="191">
      <c r="F191" s="11"/>
      <c r="G191" s="11"/>
    </row>
    <row r="192">
      <c r="F192" s="11"/>
      <c r="G192" s="11"/>
    </row>
    <row r="193">
      <c r="F193" s="11"/>
      <c r="G193" s="11"/>
    </row>
    <row r="194">
      <c r="F194" s="11"/>
      <c r="G194" s="11"/>
    </row>
    <row r="195">
      <c r="F195" s="11"/>
      <c r="G195" s="11"/>
    </row>
    <row r="196">
      <c r="F196" s="11"/>
      <c r="G196" s="11"/>
    </row>
    <row r="197">
      <c r="F197" s="11"/>
      <c r="G197" s="11"/>
    </row>
    <row r="198">
      <c r="F198" s="11"/>
      <c r="G198" s="11"/>
    </row>
    <row r="199">
      <c r="F199" s="11"/>
      <c r="G199" s="11"/>
    </row>
    <row r="200">
      <c r="F200" s="11"/>
      <c r="G200" s="11"/>
    </row>
    <row r="201">
      <c r="F201" s="11"/>
      <c r="G201" s="11"/>
    </row>
    <row r="202">
      <c r="F202" s="11"/>
      <c r="G202" s="11"/>
    </row>
    <row r="203">
      <c r="F203" s="11"/>
      <c r="G203" s="11"/>
    </row>
    <row r="204">
      <c r="F204" s="11"/>
      <c r="G204" s="11"/>
    </row>
    <row r="205">
      <c r="F205" s="11"/>
      <c r="G205" s="11"/>
    </row>
    <row r="206">
      <c r="F206" s="11"/>
      <c r="G206" s="11"/>
    </row>
    <row r="207">
      <c r="F207" s="11"/>
      <c r="G207" s="11"/>
    </row>
    <row r="208">
      <c r="F208" s="11"/>
      <c r="G208" s="11"/>
    </row>
    <row r="209">
      <c r="F209" s="11"/>
      <c r="G209" s="11"/>
    </row>
    <row r="210">
      <c r="F210" s="11"/>
      <c r="G210" s="11"/>
    </row>
    <row r="211">
      <c r="F211" s="11"/>
      <c r="G211" s="11"/>
    </row>
    <row r="212">
      <c r="F212" s="11"/>
      <c r="G212" s="11"/>
    </row>
    <row r="213">
      <c r="F213" s="11"/>
      <c r="G213" s="11"/>
    </row>
    <row r="214">
      <c r="F214" s="11"/>
      <c r="G214" s="11"/>
    </row>
    <row r="215">
      <c r="F215" s="11"/>
      <c r="G215" s="11"/>
    </row>
    <row r="216">
      <c r="F216" s="11"/>
      <c r="G216" s="11"/>
    </row>
    <row r="217">
      <c r="F217" s="11"/>
      <c r="G217" s="11"/>
    </row>
    <row r="218">
      <c r="F218" s="11"/>
      <c r="G218" s="11"/>
    </row>
    <row r="219">
      <c r="F219" s="11"/>
      <c r="G219" s="11"/>
    </row>
    <row r="220">
      <c r="F220" s="11"/>
      <c r="G220" s="11"/>
    </row>
    <row r="221">
      <c r="F221" s="11"/>
      <c r="G221" s="11"/>
    </row>
    <row r="222">
      <c r="F222" s="11"/>
      <c r="G222" s="11"/>
    </row>
    <row r="223">
      <c r="F223" s="11"/>
      <c r="G223" s="11"/>
    </row>
    <row r="224">
      <c r="F224" s="11"/>
      <c r="G224" s="11"/>
    </row>
    <row r="225">
      <c r="F225" s="11"/>
      <c r="G225" s="11"/>
    </row>
    <row r="226">
      <c r="F226" s="11"/>
      <c r="G226" s="11"/>
    </row>
    <row r="227">
      <c r="F227" s="11"/>
      <c r="G227" s="11"/>
    </row>
    <row r="228">
      <c r="F228" s="11"/>
      <c r="G228" s="11"/>
    </row>
    <row r="229">
      <c r="F229" s="11"/>
      <c r="G229" s="11"/>
    </row>
    <row r="230">
      <c r="F230" s="11"/>
      <c r="G230" s="11"/>
    </row>
    <row r="231">
      <c r="F231" s="11"/>
      <c r="G231" s="11"/>
    </row>
    <row r="232">
      <c r="F232" s="11"/>
      <c r="G232" s="11"/>
    </row>
    <row r="233">
      <c r="F233" s="11"/>
      <c r="G233" s="11"/>
    </row>
    <row r="234">
      <c r="F234" s="11"/>
      <c r="G234" s="11"/>
    </row>
    <row r="235">
      <c r="F235" s="11"/>
      <c r="G235" s="11"/>
    </row>
    <row r="236">
      <c r="F236" s="11"/>
      <c r="G236" s="11"/>
    </row>
    <row r="237">
      <c r="F237" s="11"/>
      <c r="G237" s="11"/>
    </row>
    <row r="238">
      <c r="F238" s="11"/>
      <c r="G238" s="11"/>
    </row>
    <row r="239">
      <c r="F239" s="11"/>
      <c r="G239" s="11"/>
    </row>
    <row r="240">
      <c r="F240" s="11"/>
      <c r="G240" s="11"/>
    </row>
    <row r="241">
      <c r="F241" s="11"/>
      <c r="G241" s="11"/>
    </row>
    <row r="242">
      <c r="F242" s="11"/>
      <c r="G242" s="11"/>
    </row>
    <row r="243">
      <c r="F243" s="11"/>
      <c r="G243" s="11"/>
    </row>
    <row r="244">
      <c r="F244" s="11"/>
      <c r="G244" s="11"/>
    </row>
    <row r="245">
      <c r="F245" s="11"/>
      <c r="G245" s="11"/>
    </row>
    <row r="246">
      <c r="F246" s="11"/>
      <c r="G246" s="11"/>
    </row>
    <row r="247">
      <c r="F247" s="11"/>
      <c r="G247" s="11"/>
    </row>
    <row r="248">
      <c r="F248" s="11"/>
      <c r="G248" s="11"/>
    </row>
    <row r="249">
      <c r="F249" s="11"/>
      <c r="G249" s="11"/>
    </row>
    <row r="250">
      <c r="F250" s="11"/>
      <c r="G250" s="11"/>
    </row>
    <row r="251">
      <c r="F251" s="11"/>
      <c r="G251" s="11"/>
    </row>
    <row r="252">
      <c r="F252" s="11"/>
      <c r="G252" s="11"/>
    </row>
    <row r="253">
      <c r="F253" s="11"/>
      <c r="G253" s="11"/>
    </row>
    <row r="254">
      <c r="F254" s="11"/>
      <c r="G254" s="11"/>
    </row>
    <row r="255">
      <c r="F255" s="11"/>
      <c r="G255" s="11"/>
    </row>
    <row r="256">
      <c r="F256" s="11"/>
      <c r="G256" s="11"/>
    </row>
    <row r="257">
      <c r="F257" s="11"/>
      <c r="G257" s="11"/>
    </row>
    <row r="258">
      <c r="F258" s="11"/>
      <c r="G258" s="11"/>
    </row>
    <row r="259">
      <c r="F259" s="11"/>
      <c r="G259" s="11"/>
    </row>
    <row r="260">
      <c r="F260" s="11"/>
      <c r="G260" s="11"/>
    </row>
    <row r="261">
      <c r="F261" s="11"/>
      <c r="G261" s="11"/>
    </row>
    <row r="262">
      <c r="F262" s="11"/>
      <c r="G262" s="11"/>
    </row>
    <row r="263">
      <c r="F263" s="11"/>
      <c r="G263" s="11"/>
    </row>
    <row r="264">
      <c r="F264" s="11"/>
      <c r="G264" s="11"/>
    </row>
    <row r="265">
      <c r="F265" s="11"/>
      <c r="G265" s="11"/>
    </row>
    <row r="266">
      <c r="F266" s="11"/>
      <c r="G266" s="11"/>
    </row>
    <row r="267">
      <c r="F267" s="11"/>
      <c r="G267" s="11"/>
    </row>
    <row r="268">
      <c r="F268" s="11"/>
      <c r="G268" s="11"/>
    </row>
    <row r="269">
      <c r="F269" s="11"/>
      <c r="G269" s="11"/>
    </row>
    <row r="270">
      <c r="F270" s="11"/>
      <c r="G270" s="11"/>
    </row>
    <row r="271">
      <c r="F271" s="11"/>
      <c r="G271" s="11"/>
    </row>
    <row r="272">
      <c r="F272" s="11"/>
      <c r="G272" s="11"/>
    </row>
    <row r="273">
      <c r="F273" s="11"/>
      <c r="G273" s="11"/>
    </row>
    <row r="274">
      <c r="F274" s="11"/>
      <c r="G274" s="11"/>
    </row>
    <row r="275">
      <c r="F275" s="11"/>
      <c r="G275" s="11"/>
    </row>
    <row r="276">
      <c r="F276" s="11"/>
      <c r="G276" s="11"/>
    </row>
    <row r="277">
      <c r="F277" s="11"/>
      <c r="G277" s="11"/>
    </row>
    <row r="278">
      <c r="F278" s="11"/>
      <c r="G278" s="11"/>
    </row>
    <row r="279">
      <c r="F279" s="11"/>
      <c r="G279" s="11"/>
    </row>
    <row r="280">
      <c r="F280" s="11"/>
      <c r="G280" s="11"/>
    </row>
    <row r="281">
      <c r="F281" s="11"/>
      <c r="G281" s="11"/>
    </row>
    <row r="282">
      <c r="F282" s="11"/>
      <c r="G282" s="11"/>
    </row>
    <row r="283">
      <c r="F283" s="11"/>
      <c r="G283" s="11"/>
    </row>
    <row r="284">
      <c r="F284" s="11"/>
      <c r="G284" s="11"/>
    </row>
    <row r="285">
      <c r="F285" s="11"/>
      <c r="G285" s="11"/>
    </row>
    <row r="286">
      <c r="F286" s="11"/>
      <c r="G286" s="11"/>
    </row>
    <row r="287">
      <c r="F287" s="11"/>
      <c r="G287" s="11"/>
    </row>
    <row r="288">
      <c r="F288" s="11"/>
      <c r="G288" s="11"/>
    </row>
    <row r="289">
      <c r="F289" s="11"/>
      <c r="G289" s="11"/>
    </row>
    <row r="290">
      <c r="F290" s="11"/>
      <c r="G290" s="11"/>
    </row>
    <row r="291">
      <c r="F291" s="11"/>
      <c r="G291" s="11"/>
    </row>
    <row r="292">
      <c r="F292" s="11"/>
      <c r="G292" s="11"/>
    </row>
    <row r="293">
      <c r="F293" s="11"/>
      <c r="G293" s="11"/>
    </row>
    <row r="294">
      <c r="F294" s="11"/>
      <c r="G294" s="11"/>
    </row>
    <row r="295">
      <c r="F295" s="11"/>
      <c r="G295" s="11"/>
    </row>
    <row r="296">
      <c r="F296" s="11"/>
      <c r="G296" s="11"/>
    </row>
    <row r="297">
      <c r="F297" s="11"/>
      <c r="G297" s="11"/>
    </row>
    <row r="298">
      <c r="F298" s="11"/>
      <c r="G298" s="11"/>
    </row>
    <row r="299">
      <c r="F299" s="11"/>
      <c r="G299" s="11"/>
    </row>
    <row r="300">
      <c r="F300" s="11"/>
      <c r="G300" s="11"/>
    </row>
    <row r="301">
      <c r="F301" s="11"/>
      <c r="G301" s="11"/>
    </row>
    <row r="302">
      <c r="F302" s="11"/>
      <c r="G302" s="11"/>
    </row>
    <row r="303">
      <c r="F303" s="11"/>
      <c r="G303" s="11"/>
    </row>
    <row r="304">
      <c r="F304" s="11"/>
      <c r="G304" s="11"/>
    </row>
    <row r="305">
      <c r="F305" s="11"/>
      <c r="G305" s="11"/>
    </row>
    <row r="306">
      <c r="F306" s="11"/>
      <c r="G306" s="11"/>
    </row>
    <row r="307">
      <c r="F307" s="11"/>
      <c r="G307" s="11"/>
    </row>
    <row r="308">
      <c r="F308" s="11"/>
      <c r="G308" s="11"/>
    </row>
    <row r="309">
      <c r="F309" s="11"/>
      <c r="G309" s="11"/>
    </row>
    <row r="310">
      <c r="F310" s="11"/>
      <c r="G310" s="11"/>
    </row>
    <row r="311">
      <c r="F311" s="11"/>
      <c r="G311" s="11"/>
    </row>
    <row r="312">
      <c r="F312" s="11"/>
      <c r="G312" s="11"/>
    </row>
    <row r="313">
      <c r="F313" s="11"/>
      <c r="G313" s="11"/>
    </row>
    <row r="314">
      <c r="F314" s="11"/>
      <c r="G314" s="11"/>
    </row>
    <row r="315">
      <c r="F315" s="11"/>
      <c r="G315" s="11"/>
    </row>
    <row r="316">
      <c r="F316" s="11"/>
      <c r="G316" s="11"/>
    </row>
    <row r="317">
      <c r="F317" s="11"/>
      <c r="G317" s="11"/>
    </row>
    <row r="318">
      <c r="F318" s="11"/>
      <c r="G318" s="11"/>
    </row>
    <row r="319">
      <c r="F319" s="11"/>
      <c r="G319" s="11"/>
    </row>
    <row r="320">
      <c r="F320" s="11"/>
      <c r="G320" s="11"/>
    </row>
    <row r="321">
      <c r="F321" s="11"/>
      <c r="G321" s="11"/>
    </row>
    <row r="322">
      <c r="F322" s="11"/>
      <c r="G322" s="11"/>
    </row>
    <row r="323">
      <c r="F323" s="11"/>
      <c r="G323" s="11"/>
    </row>
    <row r="324">
      <c r="F324" s="11"/>
      <c r="G324" s="11"/>
    </row>
    <row r="325">
      <c r="F325" s="11"/>
      <c r="G325" s="11"/>
    </row>
    <row r="326">
      <c r="F326" s="11"/>
      <c r="G326" s="11"/>
    </row>
    <row r="327">
      <c r="F327" s="11"/>
      <c r="G327" s="11"/>
    </row>
    <row r="328">
      <c r="F328" s="11"/>
      <c r="G328" s="11"/>
    </row>
    <row r="329">
      <c r="F329" s="11"/>
      <c r="G329" s="11"/>
    </row>
    <row r="330">
      <c r="F330" s="11"/>
      <c r="G330" s="11"/>
    </row>
    <row r="331">
      <c r="F331" s="11"/>
      <c r="G331" s="11"/>
    </row>
    <row r="332">
      <c r="F332" s="11"/>
      <c r="G332" s="11"/>
    </row>
    <row r="333">
      <c r="F333" s="11"/>
      <c r="G333" s="11"/>
    </row>
    <row r="334">
      <c r="F334" s="11"/>
      <c r="G334" s="11"/>
    </row>
    <row r="335">
      <c r="F335" s="11"/>
      <c r="G335" s="11"/>
    </row>
    <row r="336">
      <c r="F336" s="11"/>
      <c r="G336" s="11"/>
    </row>
    <row r="337">
      <c r="F337" s="11"/>
      <c r="G337" s="11"/>
    </row>
    <row r="338">
      <c r="F338" s="11"/>
      <c r="G338" s="11"/>
    </row>
    <row r="339">
      <c r="F339" s="11"/>
      <c r="G339" s="11"/>
    </row>
    <row r="340">
      <c r="F340" s="11"/>
      <c r="G340" s="11"/>
    </row>
    <row r="341">
      <c r="F341" s="11"/>
      <c r="G341" s="11"/>
    </row>
    <row r="342">
      <c r="F342" s="11"/>
      <c r="G342" s="11"/>
    </row>
    <row r="343">
      <c r="F343" s="11"/>
      <c r="G343" s="11"/>
    </row>
    <row r="344">
      <c r="F344" s="11"/>
      <c r="G344" s="11"/>
    </row>
    <row r="345">
      <c r="F345" s="11"/>
      <c r="G345" s="11"/>
    </row>
    <row r="346">
      <c r="F346" s="11"/>
      <c r="G346" s="11"/>
    </row>
    <row r="347">
      <c r="F347" s="11"/>
      <c r="G347" s="11"/>
    </row>
    <row r="348">
      <c r="F348" s="11"/>
      <c r="G348" s="11"/>
    </row>
    <row r="349">
      <c r="F349" s="11"/>
      <c r="G349" s="11"/>
    </row>
    <row r="350">
      <c r="F350" s="11"/>
      <c r="G350" s="11"/>
    </row>
    <row r="351">
      <c r="F351" s="11"/>
      <c r="G351" s="11"/>
    </row>
    <row r="352">
      <c r="F352" s="11"/>
      <c r="G352" s="11"/>
    </row>
    <row r="353">
      <c r="F353" s="11"/>
      <c r="G353" s="11"/>
    </row>
    <row r="354">
      <c r="F354" s="11"/>
      <c r="G354" s="11"/>
    </row>
    <row r="355">
      <c r="F355" s="11"/>
      <c r="G355" s="11"/>
    </row>
    <row r="356">
      <c r="F356" s="11"/>
      <c r="G356" s="11"/>
    </row>
    <row r="357">
      <c r="F357" s="11"/>
      <c r="G357" s="11"/>
    </row>
    <row r="358">
      <c r="F358" s="11"/>
      <c r="G358" s="11"/>
    </row>
    <row r="359">
      <c r="F359" s="11"/>
      <c r="G359" s="11"/>
    </row>
    <row r="360">
      <c r="F360" s="11"/>
      <c r="G360" s="11"/>
    </row>
    <row r="361">
      <c r="F361" s="11"/>
      <c r="G361" s="11"/>
    </row>
    <row r="362">
      <c r="F362" s="11"/>
      <c r="G362" s="11"/>
    </row>
    <row r="363">
      <c r="F363" s="11"/>
      <c r="G363" s="11"/>
    </row>
    <row r="364">
      <c r="F364" s="11"/>
      <c r="G364" s="11"/>
    </row>
    <row r="365">
      <c r="F365" s="11"/>
      <c r="G365" s="11"/>
    </row>
    <row r="366">
      <c r="F366" s="11"/>
      <c r="G366" s="11"/>
    </row>
    <row r="367">
      <c r="F367" s="11"/>
      <c r="G367" s="11"/>
    </row>
    <row r="368">
      <c r="F368" s="11"/>
      <c r="G368" s="11"/>
    </row>
    <row r="369">
      <c r="F369" s="11"/>
      <c r="G369" s="11"/>
    </row>
    <row r="370">
      <c r="F370" s="11"/>
      <c r="G370" s="11"/>
    </row>
    <row r="371">
      <c r="F371" s="11"/>
      <c r="G371" s="11"/>
    </row>
    <row r="372">
      <c r="F372" s="11"/>
      <c r="G372" s="11"/>
    </row>
    <row r="373">
      <c r="F373" s="11"/>
      <c r="G373" s="11"/>
    </row>
    <row r="374">
      <c r="F374" s="11"/>
      <c r="G374" s="11"/>
    </row>
    <row r="375">
      <c r="F375" s="11"/>
      <c r="G375" s="11"/>
    </row>
    <row r="376">
      <c r="F376" s="11"/>
      <c r="G376" s="11"/>
    </row>
    <row r="377">
      <c r="F377" s="11"/>
      <c r="G377" s="11"/>
    </row>
    <row r="378">
      <c r="F378" s="11"/>
      <c r="G378" s="11"/>
    </row>
    <row r="379">
      <c r="F379" s="11"/>
      <c r="G379" s="11"/>
    </row>
    <row r="380">
      <c r="F380" s="11"/>
      <c r="G380" s="11"/>
    </row>
    <row r="381">
      <c r="F381" s="11"/>
      <c r="G381" s="11"/>
    </row>
    <row r="382">
      <c r="F382" s="11"/>
      <c r="G382" s="11"/>
    </row>
    <row r="383">
      <c r="F383" s="11"/>
      <c r="G383" s="11"/>
    </row>
    <row r="384">
      <c r="F384" s="11"/>
      <c r="G384" s="11"/>
    </row>
    <row r="385">
      <c r="F385" s="11"/>
      <c r="G385" s="11"/>
    </row>
    <row r="386">
      <c r="F386" s="11"/>
      <c r="G386" s="11"/>
    </row>
    <row r="387">
      <c r="F387" s="11"/>
      <c r="G387" s="11"/>
    </row>
    <row r="388">
      <c r="F388" s="11"/>
      <c r="G388" s="11"/>
    </row>
    <row r="389">
      <c r="F389" s="11"/>
      <c r="G389" s="11"/>
    </row>
    <row r="390">
      <c r="F390" s="11"/>
      <c r="G390" s="11"/>
    </row>
    <row r="391">
      <c r="F391" s="11"/>
      <c r="G391" s="11"/>
    </row>
    <row r="392">
      <c r="F392" s="11"/>
      <c r="G392" s="11"/>
    </row>
    <row r="393">
      <c r="F393" s="11"/>
      <c r="G393" s="11"/>
    </row>
    <row r="394">
      <c r="F394" s="11"/>
      <c r="G394" s="11"/>
    </row>
    <row r="395">
      <c r="F395" s="11"/>
      <c r="G395" s="11"/>
    </row>
    <row r="396">
      <c r="F396" s="11"/>
      <c r="G396" s="11"/>
    </row>
    <row r="397">
      <c r="F397" s="11"/>
      <c r="G397" s="11"/>
    </row>
    <row r="398">
      <c r="F398" s="11"/>
      <c r="G398" s="11"/>
    </row>
    <row r="399">
      <c r="F399" s="11"/>
      <c r="G399" s="11"/>
    </row>
    <row r="400">
      <c r="F400" s="11"/>
      <c r="G400" s="11"/>
    </row>
    <row r="401">
      <c r="F401" s="11"/>
      <c r="G401" s="11"/>
    </row>
    <row r="402">
      <c r="F402" s="11"/>
      <c r="G402" s="11"/>
    </row>
    <row r="403">
      <c r="F403" s="11"/>
      <c r="G403" s="11"/>
    </row>
    <row r="404">
      <c r="F404" s="11"/>
      <c r="G404" s="11"/>
    </row>
    <row r="405">
      <c r="F405" s="11"/>
      <c r="G405" s="11"/>
    </row>
    <row r="406">
      <c r="F406" s="11"/>
      <c r="G406" s="11"/>
    </row>
    <row r="407">
      <c r="F407" s="11"/>
      <c r="G407" s="11"/>
    </row>
    <row r="408">
      <c r="F408" s="11"/>
      <c r="G408" s="11"/>
    </row>
    <row r="409">
      <c r="F409" s="11"/>
      <c r="G409" s="11"/>
    </row>
    <row r="410">
      <c r="F410" s="11"/>
      <c r="G410" s="11"/>
    </row>
    <row r="411">
      <c r="F411" s="11"/>
      <c r="G411" s="11"/>
    </row>
    <row r="412">
      <c r="F412" s="11"/>
      <c r="G412" s="11"/>
    </row>
    <row r="413">
      <c r="F413" s="11"/>
      <c r="G413" s="11"/>
    </row>
    <row r="414">
      <c r="F414" s="11"/>
      <c r="G414" s="11"/>
    </row>
    <row r="415">
      <c r="F415" s="11"/>
      <c r="G415" s="11"/>
    </row>
    <row r="416">
      <c r="F416" s="11"/>
      <c r="G416" s="11"/>
    </row>
    <row r="417">
      <c r="F417" s="11"/>
      <c r="G417" s="11"/>
    </row>
    <row r="418">
      <c r="F418" s="11"/>
      <c r="G418" s="11"/>
    </row>
    <row r="419">
      <c r="F419" s="11"/>
      <c r="G419" s="11"/>
    </row>
    <row r="420">
      <c r="F420" s="11"/>
      <c r="G420" s="11"/>
    </row>
    <row r="421">
      <c r="F421" s="11"/>
      <c r="G421" s="11"/>
    </row>
    <row r="422">
      <c r="F422" s="11"/>
      <c r="G422" s="11"/>
    </row>
    <row r="423">
      <c r="F423" s="11"/>
      <c r="G423" s="11"/>
    </row>
    <row r="424">
      <c r="F424" s="11"/>
      <c r="G424" s="11"/>
    </row>
    <row r="425">
      <c r="F425" s="11"/>
      <c r="G425" s="11"/>
    </row>
    <row r="426">
      <c r="F426" s="11"/>
      <c r="G426" s="11"/>
    </row>
    <row r="427">
      <c r="F427" s="11"/>
      <c r="G427" s="11"/>
    </row>
    <row r="428">
      <c r="F428" s="11"/>
      <c r="G428" s="11"/>
    </row>
    <row r="429">
      <c r="F429" s="11"/>
      <c r="G429" s="11"/>
    </row>
    <row r="430">
      <c r="F430" s="11"/>
      <c r="G430" s="11"/>
    </row>
    <row r="431">
      <c r="F431" s="11"/>
      <c r="G431" s="11"/>
    </row>
    <row r="432">
      <c r="F432" s="11"/>
      <c r="G432" s="11"/>
    </row>
    <row r="433">
      <c r="F433" s="11"/>
      <c r="G433" s="11"/>
    </row>
    <row r="434">
      <c r="F434" s="11"/>
      <c r="G434" s="11"/>
    </row>
    <row r="435">
      <c r="F435" s="11"/>
      <c r="G435" s="11"/>
    </row>
    <row r="436">
      <c r="F436" s="11"/>
      <c r="G436" s="11"/>
    </row>
    <row r="437">
      <c r="F437" s="11"/>
      <c r="G437" s="11"/>
    </row>
    <row r="438">
      <c r="F438" s="11"/>
      <c r="G438" s="11"/>
    </row>
    <row r="439">
      <c r="F439" s="11"/>
      <c r="G439" s="11"/>
    </row>
    <row r="440">
      <c r="F440" s="11"/>
      <c r="G440" s="11"/>
    </row>
    <row r="441">
      <c r="F441" s="11"/>
      <c r="G441" s="11"/>
    </row>
    <row r="442">
      <c r="F442" s="11"/>
      <c r="G442" s="11"/>
    </row>
    <row r="443">
      <c r="F443" s="11"/>
      <c r="G443" s="11"/>
    </row>
    <row r="444">
      <c r="F444" s="11"/>
      <c r="G444" s="11"/>
    </row>
    <row r="445">
      <c r="F445" s="11"/>
      <c r="G445" s="11"/>
    </row>
    <row r="446">
      <c r="F446" s="11"/>
      <c r="G446" s="11"/>
    </row>
    <row r="447">
      <c r="F447" s="11"/>
      <c r="G447" s="11"/>
    </row>
    <row r="448">
      <c r="F448" s="11"/>
      <c r="G448" s="11"/>
    </row>
    <row r="449">
      <c r="F449" s="11"/>
      <c r="G449" s="11"/>
    </row>
    <row r="450">
      <c r="F450" s="11"/>
      <c r="G450" s="11"/>
    </row>
    <row r="451">
      <c r="F451" s="11"/>
      <c r="G451" s="11"/>
    </row>
    <row r="452">
      <c r="F452" s="11"/>
      <c r="G452" s="11"/>
    </row>
    <row r="453">
      <c r="F453" s="11"/>
      <c r="G453" s="11"/>
    </row>
    <row r="454">
      <c r="F454" s="11"/>
      <c r="G454" s="11"/>
    </row>
    <row r="455">
      <c r="F455" s="11"/>
      <c r="G455" s="11"/>
    </row>
    <row r="456">
      <c r="F456" s="11"/>
      <c r="G456" s="11"/>
    </row>
    <row r="457">
      <c r="F457" s="11"/>
      <c r="G457" s="11"/>
    </row>
    <row r="458">
      <c r="F458" s="11"/>
      <c r="G458" s="11"/>
    </row>
    <row r="459">
      <c r="F459" s="11"/>
      <c r="G459" s="11"/>
    </row>
    <row r="460">
      <c r="F460" s="11"/>
      <c r="G460" s="11"/>
    </row>
    <row r="461">
      <c r="F461" s="11"/>
      <c r="G461" s="11"/>
    </row>
    <row r="462">
      <c r="F462" s="11"/>
      <c r="G462" s="11"/>
    </row>
    <row r="463">
      <c r="F463" s="11"/>
      <c r="G463" s="11"/>
    </row>
    <row r="464">
      <c r="F464" s="11"/>
      <c r="G464" s="11"/>
    </row>
    <row r="465">
      <c r="F465" s="11"/>
      <c r="G465" s="11"/>
    </row>
    <row r="466">
      <c r="F466" s="11"/>
      <c r="G466" s="11"/>
    </row>
    <row r="467">
      <c r="F467" s="11"/>
      <c r="G467" s="11"/>
    </row>
    <row r="468">
      <c r="F468" s="11"/>
      <c r="G468" s="11"/>
    </row>
    <row r="469">
      <c r="F469" s="11"/>
      <c r="G469" s="11"/>
    </row>
    <row r="470">
      <c r="F470" s="11"/>
      <c r="G470" s="11"/>
    </row>
    <row r="471">
      <c r="F471" s="11"/>
      <c r="G471" s="11"/>
    </row>
    <row r="472">
      <c r="F472" s="11"/>
      <c r="G472" s="11"/>
    </row>
    <row r="473">
      <c r="F473" s="11"/>
      <c r="G473" s="11"/>
    </row>
    <row r="474">
      <c r="F474" s="11"/>
      <c r="G474" s="11"/>
    </row>
    <row r="475">
      <c r="F475" s="11"/>
      <c r="G475" s="11"/>
    </row>
    <row r="476">
      <c r="F476" s="11"/>
      <c r="G476" s="11"/>
    </row>
    <row r="477">
      <c r="F477" s="11"/>
      <c r="G477" s="11"/>
    </row>
    <row r="478">
      <c r="F478" s="11"/>
      <c r="G478" s="11"/>
    </row>
    <row r="479">
      <c r="F479" s="11"/>
      <c r="G479" s="11"/>
    </row>
    <row r="480">
      <c r="F480" s="11"/>
      <c r="G480" s="11"/>
    </row>
    <row r="481">
      <c r="F481" s="11"/>
      <c r="G481" s="11"/>
    </row>
    <row r="482">
      <c r="F482" s="11"/>
      <c r="G482" s="11"/>
    </row>
    <row r="483">
      <c r="F483" s="11"/>
      <c r="G483" s="11"/>
    </row>
    <row r="484">
      <c r="F484" s="11"/>
      <c r="G484" s="11"/>
    </row>
    <row r="485">
      <c r="F485" s="11"/>
      <c r="G485" s="11"/>
    </row>
    <row r="486">
      <c r="F486" s="11"/>
      <c r="G486" s="11"/>
    </row>
    <row r="487">
      <c r="F487" s="11"/>
      <c r="G487" s="11"/>
    </row>
    <row r="488">
      <c r="F488" s="11"/>
      <c r="G488" s="11"/>
    </row>
    <row r="489">
      <c r="F489" s="11"/>
      <c r="G489" s="11"/>
    </row>
    <row r="490">
      <c r="F490" s="11"/>
      <c r="G490" s="11"/>
    </row>
    <row r="491">
      <c r="F491" s="11"/>
      <c r="G491" s="11"/>
    </row>
    <row r="492">
      <c r="F492" s="11"/>
      <c r="G492" s="11"/>
    </row>
    <row r="493">
      <c r="F493" s="11"/>
      <c r="G493" s="11"/>
    </row>
    <row r="494">
      <c r="F494" s="11"/>
      <c r="G494" s="11"/>
    </row>
    <row r="495">
      <c r="F495" s="11"/>
      <c r="G495" s="11"/>
    </row>
    <row r="496">
      <c r="F496" s="11"/>
      <c r="G496" s="11"/>
    </row>
    <row r="497">
      <c r="F497" s="11"/>
      <c r="G497" s="11"/>
    </row>
    <row r="498">
      <c r="F498" s="11"/>
      <c r="G498" s="11"/>
    </row>
    <row r="499">
      <c r="F499" s="11"/>
      <c r="G499" s="11"/>
    </row>
    <row r="500">
      <c r="F500" s="11"/>
      <c r="G500" s="11"/>
    </row>
    <row r="501">
      <c r="F501" s="11"/>
      <c r="G501" s="11"/>
    </row>
    <row r="502">
      <c r="F502" s="11"/>
      <c r="G502" s="11"/>
    </row>
    <row r="503">
      <c r="F503" s="11"/>
      <c r="G503" s="11"/>
    </row>
    <row r="504">
      <c r="F504" s="11"/>
      <c r="G504" s="11"/>
    </row>
    <row r="505">
      <c r="F505" s="11"/>
      <c r="G505" s="11"/>
    </row>
    <row r="506">
      <c r="F506" s="11"/>
      <c r="G506" s="11"/>
    </row>
    <row r="507">
      <c r="F507" s="11"/>
      <c r="G507" s="11"/>
    </row>
    <row r="508">
      <c r="F508" s="11"/>
      <c r="G508" s="11"/>
    </row>
    <row r="509">
      <c r="F509" s="11"/>
      <c r="G509" s="11"/>
    </row>
    <row r="510">
      <c r="F510" s="11"/>
      <c r="G510" s="11"/>
    </row>
    <row r="511">
      <c r="F511" s="11"/>
      <c r="G511" s="11"/>
    </row>
    <row r="512">
      <c r="F512" s="11"/>
      <c r="G512" s="11"/>
    </row>
    <row r="513">
      <c r="F513" s="11"/>
      <c r="G513" s="11"/>
    </row>
    <row r="514">
      <c r="F514" s="11"/>
      <c r="G514" s="11"/>
    </row>
    <row r="515">
      <c r="F515" s="11"/>
      <c r="G515" s="11"/>
    </row>
    <row r="516">
      <c r="F516" s="11"/>
      <c r="G516" s="11"/>
    </row>
    <row r="517">
      <c r="F517" s="11"/>
      <c r="G517" s="11"/>
    </row>
    <row r="518">
      <c r="F518" s="11"/>
      <c r="G518" s="11"/>
    </row>
    <row r="519">
      <c r="F519" s="11"/>
      <c r="G519" s="11"/>
    </row>
    <row r="520">
      <c r="F520" s="11"/>
      <c r="G520" s="11"/>
    </row>
    <row r="521">
      <c r="F521" s="11"/>
      <c r="G521" s="11"/>
    </row>
    <row r="522">
      <c r="F522" s="11"/>
      <c r="G522" s="11"/>
    </row>
    <row r="523">
      <c r="F523" s="11"/>
      <c r="G523" s="11"/>
    </row>
    <row r="524">
      <c r="F524" s="11"/>
      <c r="G524" s="11"/>
    </row>
    <row r="525">
      <c r="F525" s="11"/>
      <c r="G525" s="11"/>
    </row>
    <row r="526">
      <c r="F526" s="11"/>
      <c r="G526" s="11"/>
    </row>
    <row r="527">
      <c r="F527" s="11"/>
      <c r="G527" s="11"/>
    </row>
    <row r="528">
      <c r="F528" s="11"/>
      <c r="G528" s="11"/>
    </row>
    <row r="529">
      <c r="F529" s="11"/>
      <c r="G529" s="11"/>
    </row>
    <row r="530">
      <c r="F530" s="11"/>
      <c r="G530" s="11"/>
    </row>
    <row r="531">
      <c r="F531" s="11"/>
      <c r="G531" s="11"/>
    </row>
    <row r="532">
      <c r="F532" s="11"/>
      <c r="G532" s="11"/>
    </row>
    <row r="533">
      <c r="F533" s="11"/>
      <c r="G533" s="11"/>
    </row>
    <row r="534">
      <c r="F534" s="11"/>
      <c r="G534" s="11"/>
    </row>
    <row r="535">
      <c r="F535" s="11"/>
      <c r="G535" s="11"/>
    </row>
    <row r="536">
      <c r="F536" s="11"/>
      <c r="G536" s="11"/>
    </row>
    <row r="537">
      <c r="F537" s="11"/>
      <c r="G537" s="11"/>
    </row>
    <row r="538">
      <c r="F538" s="11"/>
      <c r="G538" s="11"/>
    </row>
    <row r="539">
      <c r="F539" s="11"/>
      <c r="G539" s="11"/>
    </row>
    <row r="540">
      <c r="F540" s="11"/>
      <c r="G540" s="11"/>
    </row>
    <row r="541">
      <c r="F541" s="11"/>
      <c r="G541" s="11"/>
    </row>
    <row r="542">
      <c r="F542" s="11"/>
      <c r="G542" s="11"/>
    </row>
    <row r="543">
      <c r="F543" s="11"/>
      <c r="G543" s="11"/>
    </row>
    <row r="544">
      <c r="F544" s="11"/>
      <c r="G544" s="11"/>
    </row>
    <row r="545">
      <c r="F545" s="11"/>
      <c r="G545" s="11"/>
    </row>
    <row r="546">
      <c r="F546" s="11"/>
      <c r="G546" s="11"/>
    </row>
    <row r="547">
      <c r="F547" s="11"/>
      <c r="G547" s="11"/>
    </row>
    <row r="548">
      <c r="F548" s="11"/>
      <c r="G548" s="11"/>
    </row>
    <row r="549">
      <c r="F549" s="11"/>
      <c r="G549" s="11"/>
    </row>
    <row r="550">
      <c r="F550" s="11"/>
      <c r="G550" s="11"/>
    </row>
    <row r="551">
      <c r="F551" s="11"/>
      <c r="G551" s="11"/>
    </row>
    <row r="552">
      <c r="F552" s="11"/>
      <c r="G552" s="11"/>
    </row>
    <row r="553">
      <c r="F553" s="11"/>
      <c r="G553" s="11"/>
    </row>
    <row r="554">
      <c r="F554" s="11"/>
      <c r="G554" s="11"/>
    </row>
    <row r="555">
      <c r="F555" s="11"/>
      <c r="G555" s="11"/>
    </row>
    <row r="556">
      <c r="F556" s="11"/>
      <c r="G556" s="11"/>
    </row>
    <row r="557">
      <c r="F557" s="11"/>
      <c r="G557" s="11"/>
    </row>
    <row r="558">
      <c r="F558" s="11"/>
      <c r="G558" s="11"/>
    </row>
    <row r="559">
      <c r="F559" s="11"/>
      <c r="G559" s="11"/>
    </row>
    <row r="560">
      <c r="F560" s="11"/>
      <c r="G560" s="11"/>
    </row>
    <row r="561">
      <c r="F561" s="11"/>
      <c r="G561" s="11"/>
    </row>
    <row r="562">
      <c r="F562" s="11"/>
      <c r="G562" s="11"/>
    </row>
    <row r="563">
      <c r="F563" s="11"/>
      <c r="G563" s="11"/>
    </row>
    <row r="564">
      <c r="F564" s="11"/>
      <c r="G564" s="11"/>
    </row>
    <row r="565">
      <c r="F565" s="11"/>
      <c r="G565" s="11"/>
    </row>
    <row r="566">
      <c r="F566" s="11"/>
      <c r="G566" s="11"/>
    </row>
    <row r="567">
      <c r="F567" s="11"/>
      <c r="G567" s="11"/>
    </row>
    <row r="568">
      <c r="F568" s="11"/>
      <c r="G568" s="11"/>
    </row>
    <row r="569">
      <c r="F569" s="11"/>
      <c r="G569" s="11"/>
    </row>
    <row r="570">
      <c r="F570" s="11"/>
      <c r="G570" s="11"/>
    </row>
    <row r="571">
      <c r="F571" s="11"/>
      <c r="G571" s="11"/>
    </row>
    <row r="572">
      <c r="F572" s="11"/>
      <c r="G572" s="11"/>
    </row>
    <row r="573">
      <c r="F573" s="11"/>
      <c r="G573" s="11"/>
    </row>
    <row r="574">
      <c r="F574" s="11"/>
      <c r="G574" s="11"/>
    </row>
    <row r="575">
      <c r="F575" s="11"/>
      <c r="G575" s="11"/>
    </row>
    <row r="576">
      <c r="F576" s="11"/>
      <c r="G576" s="11"/>
    </row>
    <row r="577">
      <c r="F577" s="11"/>
      <c r="G577" s="11"/>
    </row>
    <row r="578">
      <c r="F578" s="11"/>
      <c r="G578" s="11"/>
    </row>
    <row r="579">
      <c r="F579" s="11"/>
      <c r="G579" s="11"/>
    </row>
    <row r="580">
      <c r="F580" s="11"/>
      <c r="G580" s="11"/>
    </row>
    <row r="581">
      <c r="F581" s="11"/>
      <c r="G581" s="11"/>
    </row>
    <row r="582">
      <c r="F582" s="11"/>
      <c r="G582" s="11"/>
    </row>
    <row r="583">
      <c r="F583" s="11"/>
      <c r="G583" s="11"/>
    </row>
    <row r="584">
      <c r="F584" s="11"/>
      <c r="G584" s="11"/>
    </row>
    <row r="585">
      <c r="F585" s="11"/>
      <c r="G585" s="11"/>
    </row>
    <row r="586">
      <c r="F586" s="11"/>
      <c r="G586" s="11"/>
    </row>
    <row r="587">
      <c r="F587" s="11"/>
      <c r="G587" s="11"/>
    </row>
    <row r="588">
      <c r="F588" s="11"/>
      <c r="G588" s="11"/>
    </row>
    <row r="589">
      <c r="F589" s="11"/>
      <c r="G589" s="11"/>
    </row>
    <row r="590">
      <c r="F590" s="11"/>
      <c r="G590" s="11"/>
    </row>
    <row r="591">
      <c r="F591" s="11"/>
      <c r="G591" s="11"/>
    </row>
    <row r="592">
      <c r="F592" s="11"/>
      <c r="G592" s="11"/>
    </row>
    <row r="593">
      <c r="F593" s="11"/>
      <c r="G593" s="11"/>
    </row>
    <row r="594">
      <c r="F594" s="11"/>
      <c r="G594" s="11"/>
    </row>
    <row r="595">
      <c r="F595" s="11"/>
      <c r="G595" s="11"/>
    </row>
    <row r="596">
      <c r="F596" s="11"/>
      <c r="G596" s="11"/>
    </row>
    <row r="597">
      <c r="F597" s="11"/>
      <c r="G597" s="11"/>
    </row>
    <row r="598">
      <c r="F598" s="11"/>
      <c r="G598" s="11"/>
    </row>
    <row r="599">
      <c r="F599" s="11"/>
      <c r="G599" s="11"/>
    </row>
    <row r="600">
      <c r="F600" s="11"/>
      <c r="G600" s="11"/>
    </row>
    <row r="601">
      <c r="F601" s="11"/>
      <c r="G601" s="11"/>
    </row>
    <row r="602">
      <c r="F602" s="11"/>
      <c r="G602" s="11"/>
    </row>
    <row r="603">
      <c r="F603" s="11"/>
      <c r="G603" s="11"/>
    </row>
    <row r="604">
      <c r="F604" s="11"/>
      <c r="G604" s="11"/>
    </row>
    <row r="605">
      <c r="F605" s="11"/>
      <c r="G605" s="11"/>
    </row>
    <row r="606">
      <c r="F606" s="11"/>
      <c r="G606" s="11"/>
    </row>
    <row r="607">
      <c r="F607" s="11"/>
      <c r="G607" s="11"/>
    </row>
    <row r="608">
      <c r="F608" s="11"/>
      <c r="G608" s="11"/>
    </row>
    <row r="609">
      <c r="F609" s="11"/>
      <c r="G609" s="11"/>
    </row>
    <row r="610">
      <c r="F610" s="11"/>
      <c r="G610" s="11"/>
    </row>
    <row r="611">
      <c r="F611" s="11"/>
      <c r="G611" s="11"/>
    </row>
    <row r="612">
      <c r="F612" s="11"/>
      <c r="G612" s="11"/>
    </row>
    <row r="613">
      <c r="F613" s="11"/>
      <c r="G613" s="11"/>
    </row>
    <row r="614">
      <c r="F614" s="11"/>
      <c r="G614" s="11"/>
    </row>
    <row r="615">
      <c r="F615" s="11"/>
      <c r="G615" s="11"/>
    </row>
    <row r="616">
      <c r="F616" s="11"/>
      <c r="G616" s="11"/>
    </row>
    <row r="617">
      <c r="F617" s="11"/>
      <c r="G617" s="11"/>
    </row>
    <row r="618">
      <c r="F618" s="11"/>
      <c r="G618" s="11"/>
    </row>
    <row r="619">
      <c r="F619" s="11"/>
      <c r="G619" s="11"/>
    </row>
    <row r="620">
      <c r="F620" s="11"/>
      <c r="G620" s="11"/>
    </row>
    <row r="621">
      <c r="F621" s="11"/>
      <c r="G621" s="11"/>
    </row>
    <row r="622">
      <c r="F622" s="11"/>
      <c r="G622" s="11"/>
    </row>
    <row r="623">
      <c r="F623" s="11"/>
      <c r="G623" s="11"/>
    </row>
    <row r="624">
      <c r="F624" s="11"/>
      <c r="G624" s="11"/>
    </row>
    <row r="625">
      <c r="F625" s="11"/>
      <c r="G625" s="11"/>
    </row>
    <row r="626">
      <c r="F626" s="11"/>
      <c r="G626" s="11"/>
    </row>
    <row r="627">
      <c r="F627" s="11"/>
      <c r="G627" s="11"/>
    </row>
    <row r="628">
      <c r="F628" s="11"/>
      <c r="G628" s="11"/>
    </row>
    <row r="629">
      <c r="F629" s="11"/>
      <c r="G629" s="11"/>
    </row>
    <row r="630">
      <c r="F630" s="11"/>
      <c r="G630" s="11"/>
    </row>
    <row r="631">
      <c r="F631" s="11"/>
      <c r="G631" s="11"/>
    </row>
    <row r="632">
      <c r="F632" s="11"/>
      <c r="G632" s="11"/>
    </row>
    <row r="633">
      <c r="F633" s="11"/>
      <c r="G633" s="11"/>
    </row>
    <row r="634">
      <c r="F634" s="11"/>
      <c r="G634" s="11"/>
    </row>
    <row r="635">
      <c r="F635" s="11"/>
      <c r="G635" s="11"/>
    </row>
    <row r="636">
      <c r="F636" s="11"/>
      <c r="G636" s="11"/>
    </row>
    <row r="637">
      <c r="F637" s="11"/>
      <c r="G637" s="11"/>
    </row>
    <row r="638">
      <c r="F638" s="11"/>
      <c r="G638" s="11"/>
    </row>
    <row r="639">
      <c r="F639" s="11"/>
      <c r="G639" s="11"/>
    </row>
    <row r="640">
      <c r="F640" s="11"/>
      <c r="G640" s="11"/>
    </row>
    <row r="641">
      <c r="F641" s="11"/>
      <c r="G641" s="11"/>
    </row>
    <row r="642">
      <c r="F642" s="11"/>
      <c r="G642" s="11"/>
    </row>
    <row r="643">
      <c r="F643" s="11"/>
      <c r="G643" s="11"/>
    </row>
    <row r="644">
      <c r="F644" s="11"/>
      <c r="G644" s="11"/>
    </row>
    <row r="645">
      <c r="F645" s="11"/>
      <c r="G645" s="11"/>
    </row>
    <row r="646">
      <c r="F646" s="11"/>
      <c r="G646" s="11"/>
    </row>
    <row r="647">
      <c r="F647" s="11"/>
      <c r="G647" s="11"/>
    </row>
    <row r="648">
      <c r="F648" s="11"/>
      <c r="G648" s="11"/>
    </row>
    <row r="649">
      <c r="F649" s="11"/>
      <c r="G649" s="11"/>
    </row>
    <row r="650">
      <c r="F650" s="11"/>
      <c r="G650" s="11"/>
    </row>
    <row r="651">
      <c r="F651" s="11"/>
      <c r="G651" s="11"/>
    </row>
    <row r="652">
      <c r="F652" s="11"/>
      <c r="G652" s="11"/>
    </row>
    <row r="653">
      <c r="F653" s="11"/>
      <c r="G653" s="11"/>
    </row>
    <row r="654">
      <c r="F654" s="11"/>
      <c r="G654" s="11"/>
    </row>
    <row r="655">
      <c r="F655" s="11"/>
      <c r="G655" s="11"/>
    </row>
    <row r="656">
      <c r="F656" s="11"/>
      <c r="G656" s="11"/>
    </row>
    <row r="657">
      <c r="F657" s="11"/>
      <c r="G657" s="11"/>
    </row>
    <row r="658">
      <c r="F658" s="11"/>
      <c r="G658" s="11"/>
    </row>
    <row r="659">
      <c r="F659" s="11"/>
      <c r="G659" s="11"/>
    </row>
    <row r="660">
      <c r="F660" s="11"/>
      <c r="G660" s="11"/>
    </row>
    <row r="661">
      <c r="F661" s="11"/>
      <c r="G661" s="11"/>
    </row>
    <row r="662">
      <c r="F662" s="11"/>
      <c r="G662" s="11"/>
    </row>
    <row r="663">
      <c r="F663" s="11"/>
      <c r="G663" s="11"/>
    </row>
    <row r="664">
      <c r="F664" s="11"/>
      <c r="G664" s="11"/>
    </row>
    <row r="665">
      <c r="F665" s="11"/>
      <c r="G665" s="11"/>
    </row>
    <row r="666">
      <c r="F666" s="11"/>
      <c r="G666" s="11"/>
    </row>
    <row r="667">
      <c r="F667" s="11"/>
      <c r="G667" s="11"/>
    </row>
    <row r="668">
      <c r="F668" s="11"/>
      <c r="G668" s="11"/>
    </row>
    <row r="669">
      <c r="F669" s="11"/>
      <c r="G669" s="11"/>
    </row>
    <row r="670">
      <c r="F670" s="11"/>
      <c r="G670" s="11"/>
    </row>
    <row r="671">
      <c r="F671" s="11"/>
      <c r="G671" s="11"/>
    </row>
    <row r="672">
      <c r="F672" s="11"/>
      <c r="G672" s="11"/>
    </row>
    <row r="673">
      <c r="F673" s="11"/>
      <c r="G673" s="11"/>
    </row>
    <row r="674">
      <c r="F674" s="11"/>
      <c r="G674" s="11"/>
    </row>
    <row r="675">
      <c r="F675" s="11"/>
      <c r="G675" s="11"/>
    </row>
    <row r="676">
      <c r="F676" s="11"/>
      <c r="G676" s="11"/>
    </row>
    <row r="677">
      <c r="F677" s="11"/>
      <c r="G677" s="11"/>
    </row>
    <row r="678">
      <c r="F678" s="11"/>
      <c r="G678" s="11"/>
    </row>
    <row r="679">
      <c r="F679" s="11"/>
      <c r="G679" s="11"/>
    </row>
    <row r="680">
      <c r="F680" s="11"/>
      <c r="G680" s="11"/>
    </row>
    <row r="681">
      <c r="F681" s="11"/>
      <c r="G681" s="11"/>
    </row>
    <row r="682">
      <c r="F682" s="11"/>
      <c r="G682" s="11"/>
    </row>
    <row r="683">
      <c r="F683" s="11"/>
      <c r="G683" s="11"/>
    </row>
    <row r="684">
      <c r="F684" s="11"/>
      <c r="G684" s="11"/>
    </row>
    <row r="685">
      <c r="F685" s="11"/>
      <c r="G685" s="11"/>
    </row>
    <row r="686">
      <c r="F686" s="11"/>
      <c r="G686" s="11"/>
    </row>
    <row r="687">
      <c r="F687" s="11"/>
      <c r="G687" s="11"/>
    </row>
    <row r="688">
      <c r="F688" s="11"/>
      <c r="G688" s="11"/>
    </row>
    <row r="689">
      <c r="F689" s="11"/>
      <c r="G689" s="11"/>
    </row>
    <row r="690">
      <c r="F690" s="11"/>
      <c r="G690" s="11"/>
    </row>
    <row r="691">
      <c r="F691" s="11"/>
      <c r="G691" s="11"/>
    </row>
    <row r="692">
      <c r="F692" s="11"/>
      <c r="G692" s="11"/>
    </row>
    <row r="693">
      <c r="F693" s="11"/>
      <c r="G693" s="11"/>
    </row>
    <row r="694">
      <c r="F694" s="11"/>
      <c r="G694" s="11"/>
    </row>
    <row r="695">
      <c r="F695" s="11"/>
      <c r="G695" s="11"/>
    </row>
    <row r="696">
      <c r="F696" s="11"/>
      <c r="G696" s="11"/>
    </row>
    <row r="697">
      <c r="F697" s="11"/>
      <c r="G697" s="11"/>
    </row>
    <row r="698">
      <c r="F698" s="11"/>
      <c r="G698" s="11"/>
    </row>
    <row r="699">
      <c r="F699" s="11"/>
      <c r="G699" s="11"/>
    </row>
    <row r="700">
      <c r="F700" s="11"/>
      <c r="G700" s="11"/>
    </row>
    <row r="701">
      <c r="F701" s="11"/>
      <c r="G701" s="11"/>
    </row>
    <row r="702">
      <c r="F702" s="11"/>
      <c r="G702" s="11"/>
    </row>
    <row r="703">
      <c r="F703" s="11"/>
      <c r="G703" s="11"/>
    </row>
    <row r="704">
      <c r="F704" s="11"/>
      <c r="G704" s="11"/>
    </row>
    <row r="705">
      <c r="F705" s="11"/>
      <c r="G705" s="11"/>
    </row>
    <row r="706">
      <c r="F706" s="11"/>
      <c r="G706" s="11"/>
    </row>
    <row r="707">
      <c r="F707" s="11"/>
      <c r="G707" s="11"/>
    </row>
    <row r="708">
      <c r="F708" s="11"/>
      <c r="G708" s="11"/>
    </row>
    <row r="709">
      <c r="F709" s="11"/>
      <c r="G709" s="11"/>
    </row>
    <row r="710">
      <c r="F710" s="11"/>
      <c r="G710" s="11"/>
    </row>
    <row r="711">
      <c r="F711" s="11"/>
      <c r="G711" s="11"/>
    </row>
    <row r="712">
      <c r="F712" s="11"/>
      <c r="G712" s="11"/>
    </row>
    <row r="713">
      <c r="F713" s="11"/>
      <c r="G713" s="11"/>
    </row>
    <row r="714">
      <c r="F714" s="11"/>
      <c r="G714" s="11"/>
    </row>
    <row r="715">
      <c r="F715" s="11"/>
      <c r="G715" s="11"/>
    </row>
    <row r="716">
      <c r="F716" s="11"/>
      <c r="G716" s="11"/>
    </row>
    <row r="717">
      <c r="F717" s="11"/>
      <c r="G717" s="11"/>
    </row>
    <row r="718">
      <c r="F718" s="11"/>
      <c r="G718" s="11"/>
    </row>
    <row r="719">
      <c r="F719" s="11"/>
      <c r="G719" s="11"/>
    </row>
    <row r="720">
      <c r="F720" s="11"/>
      <c r="G720" s="11"/>
    </row>
    <row r="721">
      <c r="F721" s="11"/>
      <c r="G721" s="11"/>
    </row>
    <row r="722">
      <c r="F722" s="11"/>
      <c r="G722" s="11"/>
    </row>
    <row r="723">
      <c r="F723" s="11"/>
      <c r="G723" s="11"/>
    </row>
    <row r="724">
      <c r="F724" s="11"/>
      <c r="G724" s="11"/>
    </row>
    <row r="725">
      <c r="F725" s="11"/>
      <c r="G725" s="11"/>
    </row>
    <row r="726">
      <c r="F726" s="11"/>
      <c r="G726" s="11"/>
    </row>
    <row r="727">
      <c r="F727" s="11"/>
      <c r="G727" s="11"/>
    </row>
    <row r="728">
      <c r="F728" s="11"/>
      <c r="G728" s="11"/>
    </row>
    <row r="729">
      <c r="F729" s="11"/>
      <c r="G729" s="11"/>
    </row>
    <row r="730">
      <c r="F730" s="11"/>
      <c r="G730" s="11"/>
    </row>
    <row r="731">
      <c r="F731" s="11"/>
      <c r="G731" s="11"/>
    </row>
    <row r="732">
      <c r="F732" s="11"/>
      <c r="G732" s="11"/>
    </row>
    <row r="733">
      <c r="F733" s="11"/>
      <c r="G733" s="11"/>
    </row>
    <row r="734">
      <c r="F734" s="11"/>
      <c r="G734" s="11"/>
    </row>
    <row r="735">
      <c r="F735" s="11"/>
      <c r="G735" s="11"/>
    </row>
    <row r="736">
      <c r="F736" s="11"/>
      <c r="G736" s="11"/>
    </row>
    <row r="737">
      <c r="F737" s="11"/>
      <c r="G737" s="11"/>
    </row>
    <row r="738">
      <c r="F738" s="11"/>
      <c r="G738" s="11"/>
    </row>
    <row r="739">
      <c r="F739" s="11"/>
      <c r="G739" s="11"/>
    </row>
    <row r="740">
      <c r="F740" s="11"/>
      <c r="G740" s="11"/>
    </row>
    <row r="741">
      <c r="F741" s="11"/>
      <c r="G741" s="11"/>
    </row>
    <row r="742">
      <c r="F742" s="11"/>
      <c r="G742" s="11"/>
    </row>
    <row r="743">
      <c r="F743" s="11"/>
      <c r="G743" s="11"/>
    </row>
    <row r="744">
      <c r="F744" s="11"/>
      <c r="G744" s="11"/>
    </row>
    <row r="745">
      <c r="F745" s="11"/>
      <c r="G745" s="11"/>
    </row>
    <row r="746">
      <c r="F746" s="11"/>
      <c r="G746" s="11"/>
    </row>
    <row r="747">
      <c r="F747" s="11"/>
      <c r="G747" s="11"/>
    </row>
    <row r="748">
      <c r="F748" s="11"/>
      <c r="G748" s="11"/>
    </row>
    <row r="749">
      <c r="F749" s="11"/>
      <c r="G749" s="11"/>
    </row>
    <row r="750">
      <c r="F750" s="11"/>
      <c r="G750" s="11"/>
    </row>
    <row r="751">
      <c r="F751" s="11"/>
      <c r="G751" s="11"/>
    </row>
    <row r="752">
      <c r="F752" s="11"/>
      <c r="G752" s="11"/>
    </row>
    <row r="753">
      <c r="F753" s="11"/>
      <c r="G753" s="11"/>
    </row>
    <row r="754">
      <c r="F754" s="11"/>
      <c r="G754" s="11"/>
    </row>
    <row r="755">
      <c r="F755" s="11"/>
      <c r="G755" s="11"/>
    </row>
    <row r="756">
      <c r="F756" s="11"/>
      <c r="G756" s="11"/>
    </row>
    <row r="757">
      <c r="F757" s="11"/>
      <c r="G757" s="11"/>
    </row>
    <row r="758">
      <c r="F758" s="11"/>
      <c r="G758" s="11"/>
    </row>
    <row r="759">
      <c r="F759" s="11"/>
      <c r="G759" s="11"/>
    </row>
    <row r="760">
      <c r="F760" s="11"/>
      <c r="G760" s="11"/>
    </row>
    <row r="761">
      <c r="F761" s="11"/>
      <c r="G761" s="11"/>
    </row>
    <row r="762">
      <c r="F762" s="11"/>
      <c r="G762" s="11"/>
    </row>
    <row r="763">
      <c r="F763" s="11"/>
      <c r="G763" s="11"/>
    </row>
    <row r="764">
      <c r="F764" s="11"/>
      <c r="G764" s="11"/>
    </row>
    <row r="765">
      <c r="F765" s="11"/>
      <c r="G765" s="11"/>
    </row>
    <row r="766">
      <c r="F766" s="11"/>
      <c r="G766" s="11"/>
    </row>
    <row r="767">
      <c r="F767" s="11"/>
      <c r="G767" s="11"/>
    </row>
    <row r="768">
      <c r="F768" s="11"/>
      <c r="G768" s="11"/>
    </row>
    <row r="769">
      <c r="F769" s="11"/>
      <c r="G769" s="11"/>
    </row>
    <row r="770">
      <c r="F770" s="11"/>
      <c r="G770" s="11"/>
    </row>
    <row r="771">
      <c r="F771" s="11"/>
      <c r="G771" s="11"/>
    </row>
    <row r="772">
      <c r="F772" s="11"/>
      <c r="G772" s="11"/>
    </row>
    <row r="773">
      <c r="F773" s="11"/>
      <c r="G773" s="11"/>
    </row>
    <row r="774">
      <c r="F774" s="11"/>
      <c r="G774" s="11"/>
    </row>
    <row r="775">
      <c r="F775" s="11"/>
      <c r="G775" s="11"/>
    </row>
    <row r="776">
      <c r="F776" s="11"/>
      <c r="G776" s="11"/>
    </row>
    <row r="777">
      <c r="F777" s="11"/>
      <c r="G777" s="11"/>
    </row>
    <row r="778">
      <c r="F778" s="11"/>
      <c r="G778" s="11"/>
    </row>
    <row r="779">
      <c r="F779" s="11"/>
      <c r="G779" s="11"/>
    </row>
    <row r="780">
      <c r="F780" s="11"/>
      <c r="G780" s="11"/>
    </row>
    <row r="781">
      <c r="F781" s="11"/>
      <c r="G781" s="11"/>
    </row>
    <row r="782">
      <c r="F782" s="11"/>
      <c r="G782" s="11"/>
    </row>
    <row r="783">
      <c r="F783" s="11"/>
      <c r="G783" s="11"/>
    </row>
    <row r="784">
      <c r="F784" s="11"/>
      <c r="G784" s="11"/>
    </row>
    <row r="785">
      <c r="F785" s="11"/>
      <c r="G785" s="11"/>
    </row>
    <row r="786">
      <c r="F786" s="11"/>
      <c r="G786" s="11"/>
    </row>
    <row r="787">
      <c r="F787" s="11"/>
      <c r="G787" s="11"/>
    </row>
    <row r="788">
      <c r="F788" s="11"/>
      <c r="G788" s="11"/>
    </row>
    <row r="789">
      <c r="F789" s="11"/>
      <c r="G789" s="11"/>
    </row>
    <row r="790">
      <c r="F790" s="11"/>
      <c r="G790" s="11"/>
    </row>
    <row r="791">
      <c r="F791" s="11"/>
      <c r="G791" s="11"/>
    </row>
    <row r="792">
      <c r="F792" s="11"/>
      <c r="G792" s="11"/>
    </row>
    <row r="793">
      <c r="F793" s="11"/>
      <c r="G793" s="11"/>
    </row>
    <row r="794">
      <c r="F794" s="11"/>
      <c r="G794" s="11"/>
    </row>
    <row r="795">
      <c r="F795" s="11"/>
      <c r="G795" s="11"/>
    </row>
    <row r="796">
      <c r="F796" s="11"/>
      <c r="G796" s="11"/>
    </row>
    <row r="797">
      <c r="F797" s="11"/>
      <c r="G797" s="11"/>
    </row>
    <row r="798">
      <c r="F798" s="11"/>
      <c r="G798" s="11"/>
    </row>
    <row r="799">
      <c r="F799" s="11"/>
      <c r="G799" s="11"/>
    </row>
    <row r="800">
      <c r="F800" s="11"/>
      <c r="G800" s="11"/>
    </row>
    <row r="801">
      <c r="F801" s="11"/>
      <c r="G801" s="11"/>
    </row>
    <row r="802">
      <c r="F802" s="11"/>
      <c r="G802" s="11"/>
    </row>
    <row r="803">
      <c r="F803" s="11"/>
      <c r="G803" s="11"/>
    </row>
    <row r="804">
      <c r="F804" s="11"/>
      <c r="G804" s="11"/>
    </row>
    <row r="805">
      <c r="F805" s="11"/>
      <c r="G805" s="11"/>
    </row>
    <row r="806">
      <c r="F806" s="11"/>
      <c r="G806" s="11"/>
    </row>
    <row r="807">
      <c r="F807" s="11"/>
      <c r="G807" s="11"/>
    </row>
    <row r="808">
      <c r="F808" s="11"/>
      <c r="G808" s="11"/>
    </row>
    <row r="809">
      <c r="F809" s="11"/>
      <c r="G809" s="11"/>
    </row>
    <row r="810">
      <c r="F810" s="11"/>
      <c r="G810" s="11"/>
    </row>
    <row r="811">
      <c r="F811" s="11"/>
      <c r="G811" s="11"/>
    </row>
    <row r="812">
      <c r="F812" s="11"/>
      <c r="G812" s="11"/>
    </row>
    <row r="813">
      <c r="F813" s="11"/>
      <c r="G813" s="11"/>
    </row>
    <row r="814">
      <c r="F814" s="11"/>
      <c r="G814" s="11"/>
    </row>
    <row r="815">
      <c r="F815" s="11"/>
      <c r="G815" s="11"/>
    </row>
    <row r="816">
      <c r="F816" s="11"/>
      <c r="G816" s="11"/>
    </row>
    <row r="817">
      <c r="F817" s="11"/>
      <c r="G817" s="11"/>
    </row>
    <row r="818">
      <c r="F818" s="11"/>
      <c r="G818" s="11"/>
    </row>
    <row r="819">
      <c r="F819" s="11"/>
      <c r="G819" s="11"/>
    </row>
    <row r="820">
      <c r="F820" s="11"/>
      <c r="G820" s="11"/>
    </row>
    <row r="821">
      <c r="F821" s="11"/>
      <c r="G821" s="11"/>
    </row>
    <row r="822">
      <c r="F822" s="11"/>
      <c r="G822" s="11"/>
    </row>
    <row r="823">
      <c r="F823" s="11"/>
      <c r="G823" s="11"/>
    </row>
    <row r="824">
      <c r="F824" s="11"/>
      <c r="G824" s="11"/>
    </row>
    <row r="825">
      <c r="F825" s="11"/>
      <c r="G825" s="11"/>
    </row>
    <row r="826">
      <c r="F826" s="11"/>
      <c r="G826" s="11"/>
    </row>
    <row r="827">
      <c r="F827" s="11"/>
      <c r="G827" s="11"/>
    </row>
    <row r="828">
      <c r="F828" s="11"/>
      <c r="G828" s="11"/>
    </row>
    <row r="829">
      <c r="F829" s="11"/>
      <c r="G829" s="11"/>
    </row>
    <row r="830">
      <c r="F830" s="11"/>
      <c r="G830" s="11"/>
    </row>
    <row r="831">
      <c r="F831" s="11"/>
      <c r="G831" s="11"/>
    </row>
    <row r="832">
      <c r="F832" s="11"/>
      <c r="G832" s="11"/>
    </row>
    <row r="833">
      <c r="F833" s="11"/>
      <c r="G833" s="11"/>
    </row>
    <row r="834">
      <c r="F834" s="11"/>
      <c r="G834" s="11"/>
    </row>
    <row r="835">
      <c r="F835" s="11"/>
      <c r="G835" s="11"/>
    </row>
    <row r="836">
      <c r="F836" s="11"/>
      <c r="G836" s="11"/>
    </row>
    <row r="837">
      <c r="F837" s="11"/>
      <c r="G837" s="11"/>
    </row>
    <row r="838">
      <c r="F838" s="11"/>
      <c r="G838" s="11"/>
    </row>
    <row r="839">
      <c r="F839" s="11"/>
      <c r="G839" s="11"/>
    </row>
    <row r="840">
      <c r="F840" s="11"/>
      <c r="G840" s="11"/>
    </row>
    <row r="841">
      <c r="F841" s="11"/>
      <c r="G841" s="11"/>
    </row>
    <row r="842">
      <c r="F842" s="11"/>
      <c r="G842" s="11"/>
    </row>
    <row r="843">
      <c r="F843" s="11"/>
      <c r="G843" s="11"/>
    </row>
    <row r="844">
      <c r="F844" s="11"/>
      <c r="G844" s="11"/>
    </row>
    <row r="845">
      <c r="F845" s="11"/>
      <c r="G845" s="11"/>
    </row>
    <row r="846">
      <c r="F846" s="11"/>
      <c r="G846" s="11"/>
    </row>
    <row r="847">
      <c r="F847" s="11"/>
      <c r="G847" s="11"/>
    </row>
    <row r="848">
      <c r="F848" s="11"/>
      <c r="G848" s="11"/>
    </row>
    <row r="849">
      <c r="F849" s="11"/>
      <c r="G849" s="11"/>
    </row>
    <row r="850">
      <c r="F850" s="11"/>
      <c r="G850" s="11"/>
    </row>
    <row r="851">
      <c r="F851" s="11"/>
      <c r="G851" s="11"/>
    </row>
    <row r="852">
      <c r="F852" s="11"/>
      <c r="G852" s="11"/>
    </row>
    <row r="853">
      <c r="F853" s="11"/>
      <c r="G853" s="11"/>
    </row>
    <row r="854">
      <c r="F854" s="11"/>
      <c r="G854" s="11"/>
    </row>
    <row r="855">
      <c r="F855" s="11"/>
      <c r="G855" s="11"/>
    </row>
    <row r="856">
      <c r="F856" s="11"/>
      <c r="G856" s="11"/>
    </row>
    <row r="857">
      <c r="F857" s="11"/>
      <c r="G857" s="11"/>
    </row>
    <row r="858">
      <c r="F858" s="11"/>
      <c r="G858" s="11"/>
    </row>
    <row r="859">
      <c r="F859" s="11"/>
      <c r="G859" s="11"/>
    </row>
    <row r="860">
      <c r="F860" s="11"/>
      <c r="G860" s="11"/>
    </row>
    <row r="861">
      <c r="F861" s="11"/>
      <c r="G861" s="11"/>
    </row>
    <row r="862">
      <c r="F862" s="11"/>
      <c r="G862" s="11"/>
    </row>
    <row r="863">
      <c r="F863" s="11"/>
      <c r="G863" s="11"/>
    </row>
    <row r="864">
      <c r="F864" s="11"/>
      <c r="G864" s="11"/>
    </row>
    <row r="865">
      <c r="F865" s="11"/>
      <c r="G865" s="11"/>
    </row>
    <row r="866">
      <c r="F866" s="11"/>
      <c r="G866" s="11"/>
    </row>
    <row r="867">
      <c r="F867" s="11"/>
      <c r="G867" s="11"/>
    </row>
    <row r="868">
      <c r="F868" s="11"/>
      <c r="G868" s="11"/>
    </row>
    <row r="869">
      <c r="F869" s="11"/>
      <c r="G869" s="11"/>
    </row>
    <row r="870">
      <c r="F870" s="11"/>
      <c r="G870" s="11"/>
    </row>
    <row r="871">
      <c r="F871" s="11"/>
      <c r="G871" s="11"/>
    </row>
    <row r="872">
      <c r="F872" s="11"/>
      <c r="G872" s="11"/>
    </row>
    <row r="873">
      <c r="F873" s="11"/>
      <c r="G873" s="11"/>
    </row>
    <row r="874">
      <c r="F874" s="11"/>
      <c r="G874" s="11"/>
    </row>
    <row r="875">
      <c r="F875" s="11"/>
      <c r="G875" s="11"/>
    </row>
    <row r="876">
      <c r="F876" s="11"/>
      <c r="G876" s="11"/>
    </row>
    <row r="877">
      <c r="F877" s="11"/>
      <c r="G877" s="11"/>
    </row>
    <row r="878">
      <c r="F878" s="11"/>
      <c r="G878" s="11"/>
    </row>
    <row r="879">
      <c r="F879" s="11"/>
      <c r="G879" s="11"/>
    </row>
    <row r="880">
      <c r="F880" s="11"/>
      <c r="G880" s="11"/>
    </row>
    <row r="881">
      <c r="F881" s="11"/>
      <c r="G881" s="11"/>
    </row>
    <row r="882">
      <c r="F882" s="11"/>
      <c r="G882" s="11"/>
    </row>
    <row r="883">
      <c r="F883" s="11"/>
      <c r="G883" s="11"/>
    </row>
    <row r="884">
      <c r="F884" s="11"/>
      <c r="G884" s="11"/>
    </row>
    <row r="885">
      <c r="F885" s="11"/>
      <c r="G885" s="11"/>
    </row>
    <row r="886">
      <c r="F886" s="11"/>
      <c r="G886" s="11"/>
    </row>
    <row r="887">
      <c r="F887" s="11"/>
      <c r="G887" s="11"/>
    </row>
    <row r="888">
      <c r="F888" s="11"/>
      <c r="G888" s="11"/>
    </row>
    <row r="889">
      <c r="F889" s="11"/>
      <c r="G889" s="11"/>
    </row>
    <row r="890">
      <c r="F890" s="11"/>
      <c r="G890" s="11"/>
    </row>
    <row r="891">
      <c r="F891" s="11"/>
      <c r="G891" s="11"/>
    </row>
    <row r="892">
      <c r="F892" s="11"/>
      <c r="G892" s="11"/>
    </row>
    <row r="893">
      <c r="F893" s="11"/>
      <c r="G893" s="11"/>
    </row>
    <row r="894">
      <c r="F894" s="11"/>
      <c r="G894" s="11"/>
    </row>
    <row r="895">
      <c r="F895" s="11"/>
      <c r="G895" s="11"/>
    </row>
    <row r="896">
      <c r="F896" s="11"/>
      <c r="G896" s="11"/>
    </row>
    <row r="897">
      <c r="F897" s="11"/>
      <c r="G897" s="11"/>
    </row>
    <row r="898">
      <c r="F898" s="11"/>
      <c r="G898" s="11"/>
    </row>
    <row r="899">
      <c r="F899" s="11"/>
      <c r="G899" s="11"/>
    </row>
    <row r="900">
      <c r="F900" s="11"/>
      <c r="G900" s="11"/>
    </row>
    <row r="901">
      <c r="F901" s="11"/>
      <c r="G901" s="11"/>
    </row>
    <row r="902">
      <c r="F902" s="11"/>
      <c r="G902" s="11"/>
    </row>
    <row r="903">
      <c r="F903" s="11"/>
      <c r="G903" s="11"/>
    </row>
    <row r="904">
      <c r="F904" s="11"/>
      <c r="G904" s="11"/>
    </row>
    <row r="905">
      <c r="F905" s="11"/>
      <c r="G905" s="11"/>
    </row>
    <row r="906">
      <c r="F906" s="11"/>
      <c r="G906" s="11"/>
    </row>
    <row r="907">
      <c r="F907" s="11"/>
      <c r="G907" s="11"/>
    </row>
    <row r="908">
      <c r="F908" s="11"/>
      <c r="G908" s="11"/>
    </row>
    <row r="909">
      <c r="F909" s="11"/>
      <c r="G909" s="11"/>
    </row>
    <row r="910">
      <c r="F910" s="11"/>
      <c r="G910" s="11"/>
    </row>
    <row r="911">
      <c r="F911" s="11"/>
      <c r="G911" s="11"/>
    </row>
    <row r="912">
      <c r="F912" s="11"/>
      <c r="G912" s="11"/>
    </row>
    <row r="913">
      <c r="F913" s="11"/>
      <c r="G913" s="11"/>
    </row>
    <row r="914">
      <c r="F914" s="11"/>
      <c r="G914" s="11"/>
    </row>
    <row r="915">
      <c r="F915" s="11"/>
      <c r="G915" s="11"/>
    </row>
    <row r="916">
      <c r="F916" s="11"/>
      <c r="G916" s="11"/>
    </row>
    <row r="917">
      <c r="F917" s="11"/>
      <c r="G917" s="11"/>
    </row>
    <row r="918">
      <c r="F918" s="11"/>
      <c r="G918" s="11"/>
    </row>
  </sheetData>
  <autoFilter ref="$A$2:$K$10"/>
  <mergeCells count="1">
    <mergeCell ref="A1:F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9.75"/>
    <col customWidth="1" hidden="1" min="8" max="8" width="15.63"/>
    <col customWidth="1" min="9" max="9" width="15.63"/>
    <col customWidth="1" min="10" max="10" width="17.88"/>
    <col customWidth="1" min="11" max="11" width="18.13"/>
  </cols>
  <sheetData>
    <row r="1">
      <c r="A1" s="12" t="s">
        <v>34</v>
      </c>
      <c r="B1" s="13"/>
      <c r="C1" s="13"/>
      <c r="D1" s="13"/>
      <c r="E1" s="13"/>
      <c r="F1" s="14"/>
      <c r="G1" s="15"/>
      <c r="H1" s="16"/>
      <c r="I1" s="16"/>
      <c r="J1" s="16"/>
      <c r="K1" s="1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2"/>
      <c r="H2" s="1" t="s">
        <v>5</v>
      </c>
      <c r="I2" s="1" t="s">
        <v>6</v>
      </c>
      <c r="J2" s="1" t="s">
        <v>7</v>
      </c>
      <c r="K2" s="1" t="s">
        <v>8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56" t="s">
        <v>197</v>
      </c>
      <c r="B3" s="57" t="s">
        <v>198</v>
      </c>
      <c r="C3" s="19">
        <v>3.0</v>
      </c>
      <c r="D3" s="3"/>
      <c r="E3" s="17">
        <v>12.0</v>
      </c>
      <c r="F3" s="18">
        <v>364.0</v>
      </c>
      <c r="G3" s="18"/>
      <c r="H3" s="17"/>
      <c r="I3" s="17">
        <v>2.0</v>
      </c>
      <c r="J3" s="5" t="str">
        <f t="shared" ref="J3:J11" si="1">CONCATENATE(I3,"/",C3)</f>
        <v>2/3</v>
      </c>
      <c r="K3" s="3">
        <f t="shared" ref="K3:K10" si="2">C3-I3</f>
        <v>1</v>
      </c>
    </row>
    <row r="4">
      <c r="A4" s="58" t="s">
        <v>199</v>
      </c>
      <c r="B4" s="59" t="s">
        <v>200</v>
      </c>
      <c r="C4" s="19">
        <v>3.0</v>
      </c>
      <c r="D4" s="3"/>
      <c r="E4" s="17">
        <v>10.0</v>
      </c>
      <c r="F4" s="18">
        <v>164.0</v>
      </c>
      <c r="G4" s="18"/>
      <c r="H4" s="17"/>
      <c r="I4" s="17">
        <v>2.0</v>
      </c>
      <c r="J4" s="5" t="str">
        <f t="shared" si="1"/>
        <v>2/3</v>
      </c>
      <c r="K4" s="3">
        <f t="shared" si="2"/>
        <v>1</v>
      </c>
    </row>
    <row r="5">
      <c r="A5" s="60" t="s">
        <v>201</v>
      </c>
      <c r="B5" s="59" t="s">
        <v>202</v>
      </c>
      <c r="C5" s="3">
        <v>2.0</v>
      </c>
      <c r="D5" s="3"/>
      <c r="E5" s="17">
        <v>13.0</v>
      </c>
      <c r="F5" s="18">
        <v>68.0</v>
      </c>
      <c r="G5" s="18"/>
      <c r="H5" s="17"/>
      <c r="I5" s="17">
        <v>2.0</v>
      </c>
      <c r="J5" s="5" t="str">
        <f t="shared" si="1"/>
        <v>2/2</v>
      </c>
      <c r="K5" s="3">
        <f t="shared" si="2"/>
        <v>0</v>
      </c>
    </row>
    <row r="6">
      <c r="A6" s="61" t="s">
        <v>203</v>
      </c>
      <c r="B6" s="62" t="s">
        <v>204</v>
      </c>
      <c r="C6" s="3">
        <v>2.0</v>
      </c>
      <c r="D6" s="3"/>
      <c r="E6" s="17">
        <v>15.0</v>
      </c>
      <c r="F6" s="18">
        <v>120.0</v>
      </c>
      <c r="G6" s="18"/>
      <c r="H6" s="17"/>
      <c r="I6" s="17">
        <v>2.0</v>
      </c>
      <c r="J6" s="5" t="str">
        <f t="shared" si="1"/>
        <v>2/2</v>
      </c>
      <c r="K6" s="3">
        <f t="shared" si="2"/>
        <v>0</v>
      </c>
    </row>
    <row r="7">
      <c r="A7" s="61" t="s">
        <v>205</v>
      </c>
      <c r="B7" s="19" t="s">
        <v>206</v>
      </c>
      <c r="C7" s="3">
        <v>2.0</v>
      </c>
      <c r="D7" s="3"/>
      <c r="E7" s="17">
        <v>6.0</v>
      </c>
      <c r="F7" s="18">
        <v>70.0</v>
      </c>
      <c r="G7" s="18"/>
      <c r="H7" s="17"/>
      <c r="I7" s="17">
        <v>2.0</v>
      </c>
      <c r="J7" s="5" t="str">
        <f t="shared" si="1"/>
        <v>2/2</v>
      </c>
      <c r="K7" s="3">
        <f t="shared" si="2"/>
        <v>0</v>
      </c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</row>
    <row r="8">
      <c r="A8" s="61" t="s">
        <v>207</v>
      </c>
      <c r="B8" s="3" t="s">
        <v>208</v>
      </c>
      <c r="C8" s="3">
        <v>2.0</v>
      </c>
      <c r="D8" s="3"/>
      <c r="E8" s="17">
        <v>9.0</v>
      </c>
      <c r="F8" s="63">
        <v>115.0</v>
      </c>
      <c r="G8" s="63"/>
      <c r="H8" s="17"/>
      <c r="I8" s="17">
        <v>2.0</v>
      </c>
      <c r="J8" s="5" t="str">
        <f t="shared" si="1"/>
        <v>2/2</v>
      </c>
      <c r="K8" s="3">
        <f t="shared" si="2"/>
        <v>0</v>
      </c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</row>
    <row r="9">
      <c r="A9" s="61" t="s">
        <v>209</v>
      </c>
      <c r="B9" s="3" t="s">
        <v>210</v>
      </c>
      <c r="C9" s="3">
        <v>2.0</v>
      </c>
      <c r="D9" s="3"/>
      <c r="E9" s="17">
        <v>8.0</v>
      </c>
      <c r="F9" s="63">
        <v>86.0</v>
      </c>
      <c r="G9" s="63"/>
      <c r="H9" s="17"/>
      <c r="I9" s="17">
        <v>2.0</v>
      </c>
      <c r="J9" s="5" t="str">
        <f t="shared" si="1"/>
        <v>2/2</v>
      </c>
      <c r="K9" s="3">
        <f t="shared" si="2"/>
        <v>0</v>
      </c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</row>
    <row r="10">
      <c r="A10" s="61" t="s">
        <v>211</v>
      </c>
      <c r="B10" s="3" t="s">
        <v>212</v>
      </c>
      <c r="C10" s="3">
        <v>2.0</v>
      </c>
      <c r="D10" s="3"/>
      <c r="E10" s="17">
        <v>20.0</v>
      </c>
      <c r="F10" s="63">
        <v>235.0</v>
      </c>
      <c r="G10" s="63"/>
      <c r="H10" s="17"/>
      <c r="I10" s="17">
        <v>3.0</v>
      </c>
      <c r="J10" s="5" t="str">
        <f t="shared" si="1"/>
        <v>3/2</v>
      </c>
      <c r="K10" s="3">
        <f t="shared" si="2"/>
        <v>-1</v>
      </c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</row>
    <row r="11">
      <c r="A11" s="20" t="s">
        <v>42</v>
      </c>
      <c r="B11" s="21"/>
      <c r="C11" s="21">
        <f t="shared" ref="C11:D11" si="3">SUM(C3:C9)</f>
        <v>16</v>
      </c>
      <c r="D11" s="21">
        <f t="shared" si="3"/>
        <v>0</v>
      </c>
      <c r="E11" s="21">
        <f t="shared" ref="E11:F11" si="4">SUM(E3:E10)</f>
        <v>93</v>
      </c>
      <c r="F11" s="22">
        <f t="shared" si="4"/>
        <v>1222</v>
      </c>
      <c r="G11" s="22">
        <f t="shared" ref="G11:H11" si="5">SUM(G3:G9)</f>
        <v>0</v>
      </c>
      <c r="H11" s="21">
        <f t="shared" si="5"/>
        <v>0</v>
      </c>
      <c r="I11" s="21">
        <f>SUM(I3:I10)</f>
        <v>17</v>
      </c>
      <c r="J11" s="23" t="str">
        <f t="shared" si="1"/>
        <v>17/16</v>
      </c>
      <c r="K11" s="21">
        <f>SUM(K3:K9)</f>
        <v>2</v>
      </c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>
      <c r="F12" s="11"/>
      <c r="G12" s="11"/>
    </row>
    <row r="13">
      <c r="F13" s="11"/>
      <c r="G13" s="11"/>
    </row>
    <row r="14">
      <c r="F14" s="11"/>
      <c r="G14" s="11"/>
    </row>
    <row r="15">
      <c r="F15" s="11"/>
      <c r="G15" s="11"/>
    </row>
    <row r="16">
      <c r="F16" s="11"/>
      <c r="G16" s="11"/>
    </row>
    <row r="17">
      <c r="F17" s="11"/>
      <c r="G17" s="11"/>
    </row>
    <row r="18">
      <c r="F18" s="11"/>
      <c r="G18" s="11"/>
    </row>
    <row r="19">
      <c r="F19" s="11"/>
      <c r="G19" s="11"/>
    </row>
    <row r="20">
      <c r="F20" s="11"/>
      <c r="G20" s="11"/>
    </row>
    <row r="21">
      <c r="F21" s="11"/>
      <c r="G21" s="11"/>
    </row>
    <row r="22">
      <c r="F22" s="11"/>
      <c r="G22" s="11"/>
    </row>
    <row r="23">
      <c r="F23" s="11"/>
      <c r="G23" s="11"/>
    </row>
    <row r="24">
      <c r="F24" s="11"/>
      <c r="G24" s="11"/>
    </row>
    <row r="25">
      <c r="F25" s="11"/>
      <c r="G25" s="11"/>
    </row>
    <row r="26">
      <c r="F26" s="11"/>
      <c r="G26" s="11"/>
    </row>
    <row r="27">
      <c r="F27" s="11"/>
      <c r="G27" s="11"/>
    </row>
    <row r="28">
      <c r="F28" s="11"/>
      <c r="G28" s="11"/>
    </row>
    <row r="29">
      <c r="F29" s="11"/>
      <c r="G29" s="11"/>
    </row>
    <row r="30">
      <c r="F30" s="11"/>
      <c r="G30" s="11"/>
    </row>
    <row r="31">
      <c r="F31" s="11"/>
      <c r="G31" s="11"/>
    </row>
    <row r="32">
      <c r="F32" s="11"/>
      <c r="G32" s="11"/>
    </row>
    <row r="33">
      <c r="F33" s="11"/>
      <c r="G33" s="11"/>
    </row>
    <row r="34">
      <c r="F34" s="11"/>
      <c r="G34" s="11"/>
    </row>
    <row r="35">
      <c r="F35" s="11"/>
      <c r="G35" s="11"/>
    </row>
    <row r="36">
      <c r="F36" s="11"/>
      <c r="G36" s="11"/>
    </row>
    <row r="37">
      <c r="F37" s="11"/>
      <c r="G37" s="11"/>
    </row>
    <row r="38">
      <c r="F38" s="11"/>
      <c r="G38" s="11"/>
    </row>
    <row r="39">
      <c r="F39" s="11"/>
      <c r="G39" s="11"/>
    </row>
    <row r="40">
      <c r="F40" s="11"/>
      <c r="G40" s="11"/>
    </row>
    <row r="41">
      <c r="F41" s="11"/>
      <c r="G41" s="11"/>
    </row>
    <row r="42">
      <c r="F42" s="11"/>
      <c r="G42" s="11"/>
    </row>
    <row r="43">
      <c r="F43" s="11"/>
      <c r="G43" s="11"/>
    </row>
    <row r="44">
      <c r="F44" s="11"/>
      <c r="G44" s="11"/>
    </row>
    <row r="45">
      <c r="F45" s="11"/>
      <c r="G45" s="11"/>
    </row>
    <row r="46">
      <c r="F46" s="11"/>
      <c r="G46" s="11"/>
    </row>
    <row r="47">
      <c r="F47" s="11"/>
      <c r="G47" s="11"/>
    </row>
    <row r="48">
      <c r="F48" s="11"/>
      <c r="G48" s="11"/>
    </row>
    <row r="49">
      <c r="F49" s="11"/>
      <c r="G49" s="11"/>
    </row>
    <row r="50">
      <c r="F50" s="11"/>
      <c r="G50" s="11"/>
    </row>
    <row r="51">
      <c r="F51" s="11"/>
      <c r="G51" s="11"/>
    </row>
    <row r="52">
      <c r="F52" s="11"/>
      <c r="G52" s="11"/>
    </row>
    <row r="53">
      <c r="F53" s="11"/>
      <c r="G53" s="11"/>
    </row>
    <row r="54">
      <c r="F54" s="11"/>
      <c r="G54" s="11"/>
    </row>
    <row r="55">
      <c r="F55" s="11"/>
      <c r="G55" s="11"/>
    </row>
    <row r="56">
      <c r="F56" s="11"/>
      <c r="G56" s="11"/>
    </row>
    <row r="57">
      <c r="F57" s="11"/>
      <c r="G57" s="11"/>
    </row>
    <row r="58">
      <c r="F58" s="11"/>
      <c r="G58" s="11"/>
    </row>
    <row r="59">
      <c r="F59" s="11"/>
      <c r="G59" s="11"/>
    </row>
    <row r="60">
      <c r="F60" s="11"/>
      <c r="G60" s="11"/>
    </row>
    <row r="61">
      <c r="F61" s="11"/>
      <c r="G61" s="11"/>
    </row>
    <row r="62">
      <c r="F62" s="11"/>
      <c r="G62" s="11"/>
    </row>
    <row r="63">
      <c r="F63" s="11"/>
      <c r="G63" s="11"/>
    </row>
    <row r="64">
      <c r="F64" s="11"/>
      <c r="G64" s="11"/>
    </row>
    <row r="65">
      <c r="F65" s="11"/>
      <c r="G65" s="11"/>
    </row>
    <row r="66">
      <c r="F66" s="11"/>
      <c r="G66" s="11"/>
    </row>
    <row r="67">
      <c r="F67" s="11"/>
      <c r="G67" s="11"/>
    </row>
    <row r="68">
      <c r="F68" s="11"/>
      <c r="G68" s="11"/>
    </row>
    <row r="69">
      <c r="F69" s="11"/>
      <c r="G69" s="11"/>
    </row>
    <row r="70">
      <c r="F70" s="11"/>
      <c r="G70" s="11"/>
    </row>
    <row r="71">
      <c r="F71" s="11"/>
      <c r="G71" s="11"/>
    </row>
    <row r="72">
      <c r="F72" s="11"/>
      <c r="G72" s="11"/>
    </row>
    <row r="73">
      <c r="F73" s="11"/>
      <c r="G73" s="11"/>
    </row>
    <row r="74">
      <c r="F74" s="11"/>
      <c r="G74" s="11"/>
    </row>
    <row r="75">
      <c r="F75" s="11"/>
      <c r="G75" s="11"/>
    </row>
    <row r="76">
      <c r="F76" s="11"/>
      <c r="G76" s="11"/>
    </row>
    <row r="77">
      <c r="F77" s="11"/>
      <c r="G77" s="11"/>
    </row>
    <row r="78">
      <c r="F78" s="11"/>
      <c r="G78" s="11"/>
    </row>
    <row r="79">
      <c r="F79" s="11"/>
      <c r="G79" s="11"/>
    </row>
    <row r="80">
      <c r="F80" s="11"/>
      <c r="G80" s="11"/>
    </row>
    <row r="81">
      <c r="F81" s="11"/>
      <c r="G81" s="11"/>
    </row>
    <row r="82">
      <c r="F82" s="11"/>
      <c r="G82" s="11"/>
    </row>
    <row r="83">
      <c r="F83" s="11"/>
      <c r="G83" s="11"/>
    </row>
    <row r="84">
      <c r="F84" s="11"/>
      <c r="G84" s="11"/>
    </row>
    <row r="85">
      <c r="F85" s="11"/>
      <c r="G85" s="11"/>
    </row>
    <row r="86">
      <c r="F86" s="11"/>
      <c r="G86" s="11"/>
    </row>
    <row r="87">
      <c r="F87" s="11"/>
      <c r="G87" s="11"/>
    </row>
    <row r="88">
      <c r="F88" s="11"/>
      <c r="G88" s="11"/>
    </row>
    <row r="89">
      <c r="F89" s="11"/>
      <c r="G89" s="11"/>
    </row>
    <row r="90">
      <c r="F90" s="11"/>
      <c r="G90" s="11"/>
    </row>
    <row r="91">
      <c r="F91" s="11"/>
      <c r="G91" s="11"/>
    </row>
    <row r="92">
      <c r="F92" s="11"/>
      <c r="G92" s="11"/>
    </row>
    <row r="93">
      <c r="F93" s="11"/>
      <c r="G93" s="11"/>
    </row>
    <row r="94">
      <c r="F94" s="11"/>
      <c r="G94" s="11"/>
    </row>
    <row r="95">
      <c r="F95" s="11"/>
      <c r="G95" s="11"/>
    </row>
    <row r="96">
      <c r="F96" s="11"/>
      <c r="G96" s="11"/>
    </row>
    <row r="97">
      <c r="F97" s="11"/>
      <c r="G97" s="11"/>
    </row>
    <row r="98">
      <c r="F98" s="11"/>
      <c r="G98" s="11"/>
    </row>
    <row r="99">
      <c r="F99" s="11"/>
      <c r="G99" s="11"/>
    </row>
    <row r="100">
      <c r="F100" s="11"/>
      <c r="G100" s="11"/>
    </row>
    <row r="101">
      <c r="F101" s="11"/>
      <c r="G101" s="11"/>
    </row>
    <row r="102">
      <c r="F102" s="11"/>
      <c r="G102" s="11"/>
    </row>
    <row r="103">
      <c r="F103" s="11"/>
      <c r="G103" s="11"/>
    </row>
    <row r="104">
      <c r="F104" s="11"/>
      <c r="G104" s="11"/>
    </row>
    <row r="105">
      <c r="F105" s="11"/>
      <c r="G105" s="11"/>
    </row>
    <row r="106">
      <c r="F106" s="11"/>
      <c r="G106" s="11"/>
    </row>
    <row r="107">
      <c r="F107" s="11"/>
      <c r="G107" s="11"/>
    </row>
    <row r="108">
      <c r="F108" s="11"/>
      <c r="G108" s="11"/>
    </row>
    <row r="109">
      <c r="F109" s="11"/>
      <c r="G109" s="11"/>
    </row>
    <row r="110">
      <c r="F110" s="11"/>
      <c r="G110" s="11"/>
    </row>
    <row r="111">
      <c r="F111" s="11"/>
      <c r="G111" s="11"/>
    </row>
    <row r="112">
      <c r="F112" s="11"/>
      <c r="G112" s="11"/>
    </row>
    <row r="113">
      <c r="F113" s="11"/>
      <c r="G113" s="11"/>
    </row>
    <row r="114">
      <c r="F114" s="11"/>
      <c r="G114" s="11"/>
    </row>
    <row r="115">
      <c r="F115" s="11"/>
      <c r="G115" s="11"/>
    </row>
    <row r="116">
      <c r="F116" s="11"/>
      <c r="G116" s="11"/>
    </row>
    <row r="117">
      <c r="F117" s="11"/>
      <c r="G117" s="11"/>
    </row>
    <row r="118">
      <c r="F118" s="11"/>
      <c r="G118" s="11"/>
    </row>
    <row r="119">
      <c r="F119" s="11"/>
      <c r="G119" s="11"/>
    </row>
    <row r="120">
      <c r="F120" s="11"/>
      <c r="G120" s="11"/>
    </row>
    <row r="121">
      <c r="F121" s="11"/>
      <c r="G121" s="11"/>
    </row>
    <row r="122">
      <c r="F122" s="11"/>
      <c r="G122" s="11"/>
    </row>
    <row r="123">
      <c r="F123" s="11"/>
      <c r="G123" s="11"/>
    </row>
    <row r="124">
      <c r="F124" s="11"/>
      <c r="G124" s="11"/>
    </row>
    <row r="125">
      <c r="F125" s="11"/>
      <c r="G125" s="11"/>
    </row>
    <row r="126">
      <c r="F126" s="11"/>
      <c r="G126" s="11"/>
    </row>
    <row r="127">
      <c r="F127" s="11"/>
      <c r="G127" s="11"/>
    </row>
    <row r="128">
      <c r="F128" s="11"/>
      <c r="G128" s="11"/>
    </row>
    <row r="129">
      <c r="F129" s="11"/>
      <c r="G129" s="11"/>
    </row>
    <row r="130">
      <c r="F130" s="11"/>
      <c r="G130" s="11"/>
    </row>
    <row r="131">
      <c r="F131" s="11"/>
      <c r="G131" s="11"/>
    </row>
    <row r="132">
      <c r="F132" s="11"/>
      <c r="G132" s="11"/>
    </row>
    <row r="133">
      <c r="F133" s="11"/>
      <c r="G133" s="11"/>
    </row>
    <row r="134">
      <c r="F134" s="11"/>
      <c r="G134" s="11"/>
    </row>
    <row r="135">
      <c r="F135" s="11"/>
      <c r="G135" s="11"/>
    </row>
    <row r="136">
      <c r="F136" s="11"/>
      <c r="G136" s="11"/>
    </row>
    <row r="137">
      <c r="F137" s="11"/>
      <c r="G137" s="11"/>
    </row>
    <row r="138">
      <c r="F138" s="11"/>
      <c r="G138" s="11"/>
    </row>
    <row r="139">
      <c r="F139" s="11"/>
      <c r="G139" s="11"/>
    </row>
    <row r="140">
      <c r="F140" s="11"/>
      <c r="G140" s="11"/>
    </row>
    <row r="141">
      <c r="F141" s="11"/>
      <c r="G141" s="11"/>
    </row>
    <row r="142">
      <c r="F142" s="11"/>
      <c r="G142" s="11"/>
    </row>
    <row r="143">
      <c r="F143" s="11"/>
      <c r="G143" s="11"/>
    </row>
    <row r="144">
      <c r="F144" s="11"/>
      <c r="G144" s="11"/>
    </row>
    <row r="145">
      <c r="F145" s="11"/>
      <c r="G145" s="11"/>
    </row>
    <row r="146">
      <c r="F146" s="11"/>
      <c r="G146" s="11"/>
    </row>
    <row r="147">
      <c r="F147" s="11"/>
      <c r="G147" s="11"/>
    </row>
    <row r="148">
      <c r="F148" s="11"/>
      <c r="G148" s="11"/>
    </row>
    <row r="149">
      <c r="F149" s="11"/>
      <c r="G149" s="11"/>
    </row>
    <row r="150">
      <c r="F150" s="11"/>
      <c r="G150" s="11"/>
    </row>
    <row r="151">
      <c r="F151" s="11"/>
      <c r="G151" s="11"/>
    </row>
    <row r="152">
      <c r="F152" s="11"/>
      <c r="G152" s="11"/>
    </row>
    <row r="153">
      <c r="F153" s="11"/>
      <c r="G153" s="11"/>
    </row>
    <row r="154">
      <c r="F154" s="11"/>
      <c r="G154" s="11"/>
    </row>
    <row r="155">
      <c r="F155" s="11"/>
      <c r="G155" s="11"/>
    </row>
    <row r="156">
      <c r="F156" s="11"/>
      <c r="G156" s="11"/>
    </row>
    <row r="157">
      <c r="F157" s="11"/>
      <c r="G157" s="11"/>
    </row>
    <row r="158">
      <c r="F158" s="11"/>
      <c r="G158" s="11"/>
    </row>
    <row r="159">
      <c r="F159" s="11"/>
      <c r="G159" s="11"/>
    </row>
    <row r="160">
      <c r="F160" s="11"/>
      <c r="G160" s="11"/>
    </row>
    <row r="161">
      <c r="F161" s="11"/>
      <c r="G161" s="11"/>
    </row>
    <row r="162">
      <c r="F162" s="11"/>
      <c r="G162" s="11"/>
    </row>
    <row r="163">
      <c r="F163" s="11"/>
      <c r="G163" s="11"/>
    </row>
    <row r="164">
      <c r="F164" s="11"/>
      <c r="G164" s="11"/>
    </row>
    <row r="165">
      <c r="F165" s="11"/>
      <c r="G165" s="11"/>
    </row>
    <row r="166">
      <c r="F166" s="11"/>
      <c r="G166" s="11"/>
    </row>
    <row r="167">
      <c r="F167" s="11"/>
      <c r="G167" s="11"/>
    </row>
    <row r="168">
      <c r="F168" s="11"/>
      <c r="G168" s="11"/>
    </row>
    <row r="169">
      <c r="F169" s="11"/>
      <c r="G169" s="11"/>
    </row>
    <row r="170">
      <c r="F170" s="11"/>
      <c r="G170" s="11"/>
    </row>
    <row r="171">
      <c r="F171" s="11"/>
      <c r="G171" s="11"/>
    </row>
    <row r="172">
      <c r="F172" s="11"/>
      <c r="G172" s="11"/>
    </row>
    <row r="173">
      <c r="F173" s="11"/>
      <c r="G173" s="11"/>
    </row>
    <row r="174">
      <c r="F174" s="11"/>
      <c r="G174" s="11"/>
    </row>
    <row r="175">
      <c r="F175" s="11"/>
      <c r="G175" s="11"/>
    </row>
    <row r="176">
      <c r="F176" s="11"/>
      <c r="G176" s="11"/>
    </row>
    <row r="177">
      <c r="F177" s="11"/>
      <c r="G177" s="11"/>
    </row>
    <row r="178">
      <c r="F178" s="11"/>
      <c r="G178" s="11"/>
    </row>
    <row r="179">
      <c r="F179" s="11"/>
      <c r="G179" s="11"/>
    </row>
    <row r="180">
      <c r="F180" s="11"/>
      <c r="G180" s="11"/>
    </row>
    <row r="181">
      <c r="F181" s="11"/>
      <c r="G181" s="11"/>
    </row>
    <row r="182">
      <c r="F182" s="11"/>
      <c r="G182" s="11"/>
    </row>
    <row r="183">
      <c r="F183" s="11"/>
      <c r="G183" s="11"/>
    </row>
    <row r="184">
      <c r="F184" s="11"/>
      <c r="G184" s="11"/>
    </row>
    <row r="185">
      <c r="F185" s="11"/>
      <c r="G185" s="11"/>
    </row>
    <row r="186">
      <c r="F186" s="11"/>
      <c r="G186" s="11"/>
    </row>
    <row r="187">
      <c r="F187" s="11"/>
      <c r="G187" s="11"/>
    </row>
    <row r="188">
      <c r="F188" s="11"/>
      <c r="G188" s="11"/>
    </row>
    <row r="189">
      <c r="F189" s="11"/>
      <c r="G189" s="11"/>
    </row>
    <row r="190">
      <c r="F190" s="11"/>
      <c r="G190" s="11"/>
    </row>
    <row r="191">
      <c r="F191" s="11"/>
      <c r="G191" s="11"/>
    </row>
    <row r="192">
      <c r="F192" s="11"/>
      <c r="G192" s="11"/>
    </row>
    <row r="193">
      <c r="F193" s="11"/>
      <c r="G193" s="11"/>
    </row>
    <row r="194">
      <c r="F194" s="11"/>
      <c r="G194" s="11"/>
    </row>
    <row r="195">
      <c r="F195" s="11"/>
      <c r="G195" s="11"/>
    </row>
    <row r="196">
      <c r="F196" s="11"/>
      <c r="G196" s="11"/>
    </row>
    <row r="197">
      <c r="F197" s="11"/>
      <c r="G197" s="11"/>
    </row>
    <row r="198">
      <c r="F198" s="11"/>
      <c r="G198" s="11"/>
    </row>
    <row r="199">
      <c r="F199" s="11"/>
      <c r="G199" s="11"/>
    </row>
    <row r="200">
      <c r="F200" s="11"/>
      <c r="G200" s="11"/>
    </row>
    <row r="201">
      <c r="F201" s="11"/>
      <c r="G201" s="11"/>
    </row>
    <row r="202">
      <c r="F202" s="11"/>
      <c r="G202" s="11"/>
    </row>
    <row r="203">
      <c r="F203" s="11"/>
      <c r="G203" s="11"/>
    </row>
    <row r="204">
      <c r="F204" s="11"/>
      <c r="G204" s="11"/>
    </row>
    <row r="205">
      <c r="F205" s="11"/>
      <c r="G205" s="11"/>
    </row>
    <row r="206">
      <c r="F206" s="11"/>
      <c r="G206" s="11"/>
    </row>
    <row r="207">
      <c r="F207" s="11"/>
      <c r="G207" s="11"/>
    </row>
    <row r="208">
      <c r="F208" s="11"/>
      <c r="G208" s="11"/>
    </row>
    <row r="209">
      <c r="F209" s="11"/>
      <c r="G209" s="11"/>
    </row>
    <row r="210">
      <c r="F210" s="11"/>
      <c r="G210" s="11"/>
    </row>
    <row r="211">
      <c r="F211" s="11"/>
      <c r="G211" s="11"/>
    </row>
    <row r="212">
      <c r="F212" s="11"/>
      <c r="G212" s="11"/>
    </row>
    <row r="213">
      <c r="F213" s="11"/>
      <c r="G213" s="11"/>
    </row>
    <row r="214">
      <c r="F214" s="11"/>
      <c r="G214" s="11"/>
    </row>
    <row r="215">
      <c r="F215" s="11"/>
      <c r="G215" s="11"/>
    </row>
    <row r="216">
      <c r="F216" s="11"/>
      <c r="G216" s="11"/>
    </row>
    <row r="217">
      <c r="F217" s="11"/>
      <c r="G217" s="11"/>
    </row>
    <row r="218">
      <c r="F218" s="11"/>
      <c r="G218" s="11"/>
    </row>
    <row r="219">
      <c r="F219" s="11"/>
      <c r="G219" s="11"/>
    </row>
    <row r="220">
      <c r="F220" s="11"/>
      <c r="G220" s="11"/>
    </row>
    <row r="221">
      <c r="F221" s="11"/>
      <c r="G221" s="11"/>
    </row>
    <row r="222">
      <c r="F222" s="11"/>
      <c r="G222" s="11"/>
    </row>
    <row r="223">
      <c r="F223" s="11"/>
      <c r="G223" s="11"/>
    </row>
    <row r="224">
      <c r="F224" s="11"/>
      <c r="G224" s="11"/>
    </row>
    <row r="225">
      <c r="F225" s="11"/>
      <c r="G225" s="11"/>
    </row>
    <row r="226">
      <c r="F226" s="11"/>
      <c r="G226" s="11"/>
    </row>
    <row r="227">
      <c r="F227" s="11"/>
      <c r="G227" s="11"/>
    </row>
    <row r="228">
      <c r="F228" s="11"/>
      <c r="G228" s="11"/>
    </row>
    <row r="229">
      <c r="F229" s="11"/>
      <c r="G229" s="11"/>
    </row>
    <row r="230">
      <c r="F230" s="11"/>
      <c r="G230" s="11"/>
    </row>
    <row r="231">
      <c r="F231" s="11"/>
      <c r="G231" s="11"/>
    </row>
    <row r="232">
      <c r="F232" s="11"/>
      <c r="G232" s="11"/>
    </row>
    <row r="233">
      <c r="F233" s="11"/>
      <c r="G233" s="11"/>
    </row>
    <row r="234">
      <c r="F234" s="11"/>
      <c r="G234" s="11"/>
    </row>
    <row r="235">
      <c r="F235" s="11"/>
      <c r="G235" s="11"/>
    </row>
    <row r="236">
      <c r="F236" s="11"/>
      <c r="G236" s="11"/>
    </row>
    <row r="237">
      <c r="F237" s="11"/>
      <c r="G237" s="11"/>
    </row>
    <row r="238">
      <c r="F238" s="11"/>
      <c r="G238" s="11"/>
    </row>
    <row r="239">
      <c r="F239" s="11"/>
      <c r="G239" s="11"/>
    </row>
    <row r="240">
      <c r="F240" s="11"/>
      <c r="G240" s="11"/>
    </row>
    <row r="241">
      <c r="F241" s="11"/>
      <c r="G241" s="11"/>
    </row>
    <row r="242">
      <c r="F242" s="11"/>
      <c r="G242" s="11"/>
    </row>
    <row r="243">
      <c r="F243" s="11"/>
      <c r="G243" s="11"/>
    </row>
    <row r="244">
      <c r="F244" s="11"/>
      <c r="G244" s="11"/>
    </row>
    <row r="245">
      <c r="F245" s="11"/>
      <c r="G245" s="11"/>
    </row>
    <row r="246">
      <c r="F246" s="11"/>
      <c r="G246" s="11"/>
    </row>
    <row r="247">
      <c r="F247" s="11"/>
      <c r="G247" s="11"/>
    </row>
    <row r="248">
      <c r="F248" s="11"/>
      <c r="G248" s="11"/>
    </row>
    <row r="249">
      <c r="F249" s="11"/>
      <c r="G249" s="11"/>
    </row>
    <row r="250">
      <c r="F250" s="11"/>
      <c r="G250" s="11"/>
    </row>
    <row r="251">
      <c r="F251" s="11"/>
      <c r="G251" s="11"/>
    </row>
    <row r="252">
      <c r="F252" s="11"/>
      <c r="G252" s="11"/>
    </row>
    <row r="253">
      <c r="F253" s="11"/>
      <c r="G253" s="11"/>
    </row>
    <row r="254">
      <c r="F254" s="11"/>
      <c r="G254" s="11"/>
    </row>
    <row r="255">
      <c r="F255" s="11"/>
      <c r="G255" s="11"/>
    </row>
    <row r="256">
      <c r="F256" s="11"/>
      <c r="G256" s="11"/>
    </row>
    <row r="257">
      <c r="F257" s="11"/>
      <c r="G257" s="11"/>
    </row>
    <row r="258">
      <c r="F258" s="11"/>
      <c r="G258" s="11"/>
    </row>
    <row r="259">
      <c r="F259" s="11"/>
      <c r="G259" s="11"/>
    </row>
    <row r="260">
      <c r="F260" s="11"/>
      <c r="G260" s="11"/>
    </row>
    <row r="261">
      <c r="F261" s="11"/>
      <c r="G261" s="11"/>
    </row>
    <row r="262">
      <c r="F262" s="11"/>
      <c r="G262" s="11"/>
    </row>
    <row r="263">
      <c r="F263" s="11"/>
      <c r="G263" s="11"/>
    </row>
    <row r="264">
      <c r="F264" s="11"/>
      <c r="G264" s="11"/>
    </row>
    <row r="265">
      <c r="F265" s="11"/>
      <c r="G265" s="11"/>
    </row>
    <row r="266">
      <c r="F266" s="11"/>
      <c r="G266" s="11"/>
    </row>
    <row r="267">
      <c r="F267" s="11"/>
      <c r="G267" s="11"/>
    </row>
    <row r="268">
      <c r="F268" s="11"/>
      <c r="G268" s="11"/>
    </row>
    <row r="269">
      <c r="F269" s="11"/>
      <c r="G269" s="11"/>
    </row>
    <row r="270">
      <c r="F270" s="11"/>
      <c r="G270" s="11"/>
    </row>
    <row r="271">
      <c r="F271" s="11"/>
      <c r="G271" s="11"/>
    </row>
    <row r="272">
      <c r="F272" s="11"/>
      <c r="G272" s="11"/>
    </row>
    <row r="273">
      <c r="F273" s="11"/>
      <c r="G273" s="11"/>
    </row>
    <row r="274">
      <c r="F274" s="11"/>
      <c r="G274" s="11"/>
    </row>
    <row r="275">
      <c r="F275" s="11"/>
      <c r="G275" s="11"/>
    </row>
    <row r="276">
      <c r="F276" s="11"/>
      <c r="G276" s="11"/>
    </row>
    <row r="277">
      <c r="F277" s="11"/>
      <c r="G277" s="11"/>
    </row>
    <row r="278">
      <c r="F278" s="11"/>
      <c r="G278" s="11"/>
    </row>
    <row r="279">
      <c r="F279" s="11"/>
      <c r="G279" s="11"/>
    </row>
    <row r="280">
      <c r="F280" s="11"/>
      <c r="G280" s="11"/>
    </row>
    <row r="281">
      <c r="F281" s="11"/>
      <c r="G281" s="11"/>
    </row>
    <row r="282">
      <c r="F282" s="11"/>
      <c r="G282" s="11"/>
    </row>
    <row r="283">
      <c r="F283" s="11"/>
      <c r="G283" s="11"/>
    </row>
    <row r="284">
      <c r="F284" s="11"/>
      <c r="G284" s="11"/>
    </row>
    <row r="285">
      <c r="F285" s="11"/>
      <c r="G285" s="11"/>
    </row>
    <row r="286">
      <c r="F286" s="11"/>
      <c r="G286" s="11"/>
    </row>
    <row r="287">
      <c r="F287" s="11"/>
      <c r="G287" s="11"/>
    </row>
    <row r="288">
      <c r="F288" s="11"/>
      <c r="G288" s="11"/>
    </row>
    <row r="289">
      <c r="F289" s="11"/>
      <c r="G289" s="11"/>
    </row>
    <row r="290">
      <c r="F290" s="11"/>
      <c r="G290" s="11"/>
    </row>
    <row r="291">
      <c r="F291" s="11"/>
      <c r="G291" s="11"/>
    </row>
    <row r="292">
      <c r="F292" s="11"/>
      <c r="G292" s="11"/>
    </row>
    <row r="293">
      <c r="F293" s="11"/>
      <c r="G293" s="11"/>
    </row>
    <row r="294">
      <c r="F294" s="11"/>
      <c r="G294" s="11"/>
    </row>
    <row r="295">
      <c r="F295" s="11"/>
      <c r="G295" s="11"/>
    </row>
    <row r="296">
      <c r="F296" s="11"/>
      <c r="G296" s="11"/>
    </row>
    <row r="297">
      <c r="F297" s="11"/>
      <c r="G297" s="11"/>
    </row>
    <row r="298">
      <c r="F298" s="11"/>
      <c r="G298" s="11"/>
    </row>
    <row r="299">
      <c r="F299" s="11"/>
      <c r="G299" s="11"/>
    </row>
    <row r="300">
      <c r="F300" s="11"/>
      <c r="G300" s="11"/>
    </row>
    <row r="301">
      <c r="F301" s="11"/>
      <c r="G301" s="11"/>
    </row>
    <row r="302">
      <c r="F302" s="11"/>
      <c r="G302" s="11"/>
    </row>
    <row r="303">
      <c r="F303" s="11"/>
      <c r="G303" s="11"/>
    </row>
    <row r="304">
      <c r="F304" s="11"/>
      <c r="G304" s="11"/>
    </row>
    <row r="305">
      <c r="F305" s="11"/>
      <c r="G305" s="11"/>
    </row>
    <row r="306">
      <c r="F306" s="11"/>
      <c r="G306" s="11"/>
    </row>
    <row r="307">
      <c r="F307" s="11"/>
      <c r="G307" s="11"/>
    </row>
    <row r="308">
      <c r="F308" s="11"/>
      <c r="G308" s="11"/>
    </row>
    <row r="309">
      <c r="F309" s="11"/>
      <c r="G309" s="11"/>
    </row>
    <row r="310">
      <c r="F310" s="11"/>
      <c r="G310" s="11"/>
    </row>
    <row r="311">
      <c r="F311" s="11"/>
      <c r="G311" s="11"/>
    </row>
    <row r="312">
      <c r="F312" s="11"/>
      <c r="G312" s="11"/>
    </row>
    <row r="313">
      <c r="F313" s="11"/>
      <c r="G313" s="11"/>
    </row>
    <row r="314">
      <c r="F314" s="11"/>
      <c r="G314" s="11"/>
    </row>
    <row r="315">
      <c r="F315" s="11"/>
      <c r="G315" s="11"/>
    </row>
    <row r="316">
      <c r="F316" s="11"/>
      <c r="G316" s="11"/>
    </row>
    <row r="317">
      <c r="F317" s="11"/>
      <c r="G317" s="11"/>
    </row>
    <row r="318">
      <c r="F318" s="11"/>
      <c r="G318" s="11"/>
    </row>
    <row r="319">
      <c r="F319" s="11"/>
      <c r="G319" s="11"/>
    </row>
    <row r="320">
      <c r="F320" s="11"/>
      <c r="G320" s="11"/>
    </row>
    <row r="321">
      <c r="F321" s="11"/>
      <c r="G321" s="11"/>
    </row>
    <row r="322">
      <c r="F322" s="11"/>
      <c r="G322" s="11"/>
    </row>
    <row r="323">
      <c r="F323" s="11"/>
      <c r="G323" s="11"/>
    </row>
    <row r="324">
      <c r="F324" s="11"/>
      <c r="G324" s="11"/>
    </row>
    <row r="325">
      <c r="F325" s="11"/>
      <c r="G325" s="11"/>
    </row>
    <row r="326">
      <c r="F326" s="11"/>
      <c r="G326" s="11"/>
    </row>
    <row r="327">
      <c r="F327" s="11"/>
      <c r="G327" s="11"/>
    </row>
    <row r="328">
      <c r="F328" s="11"/>
      <c r="G328" s="11"/>
    </row>
    <row r="329">
      <c r="F329" s="11"/>
      <c r="G329" s="11"/>
    </row>
    <row r="330">
      <c r="F330" s="11"/>
      <c r="G330" s="11"/>
    </row>
    <row r="331">
      <c r="F331" s="11"/>
      <c r="G331" s="11"/>
    </row>
    <row r="332">
      <c r="F332" s="11"/>
      <c r="G332" s="11"/>
    </row>
    <row r="333">
      <c r="F333" s="11"/>
      <c r="G333" s="11"/>
    </row>
    <row r="334">
      <c r="F334" s="11"/>
      <c r="G334" s="11"/>
    </row>
    <row r="335">
      <c r="F335" s="11"/>
      <c r="G335" s="11"/>
    </row>
    <row r="336">
      <c r="F336" s="11"/>
      <c r="G336" s="11"/>
    </row>
    <row r="337">
      <c r="F337" s="11"/>
      <c r="G337" s="11"/>
    </row>
    <row r="338">
      <c r="F338" s="11"/>
      <c r="G338" s="11"/>
    </row>
    <row r="339">
      <c r="F339" s="11"/>
      <c r="G339" s="11"/>
    </row>
    <row r="340">
      <c r="F340" s="11"/>
      <c r="G340" s="11"/>
    </row>
    <row r="341">
      <c r="F341" s="11"/>
      <c r="G341" s="11"/>
    </row>
    <row r="342">
      <c r="F342" s="11"/>
      <c r="G342" s="11"/>
    </row>
    <row r="343">
      <c r="F343" s="11"/>
      <c r="G343" s="11"/>
    </row>
    <row r="344">
      <c r="F344" s="11"/>
      <c r="G344" s="11"/>
    </row>
    <row r="345">
      <c r="F345" s="11"/>
      <c r="G345" s="11"/>
    </row>
    <row r="346">
      <c r="F346" s="11"/>
      <c r="G346" s="11"/>
    </row>
    <row r="347">
      <c r="F347" s="11"/>
      <c r="G347" s="11"/>
    </row>
    <row r="348">
      <c r="F348" s="11"/>
      <c r="G348" s="11"/>
    </row>
    <row r="349">
      <c r="F349" s="11"/>
      <c r="G349" s="11"/>
    </row>
    <row r="350">
      <c r="F350" s="11"/>
      <c r="G350" s="11"/>
    </row>
    <row r="351">
      <c r="F351" s="11"/>
      <c r="G351" s="11"/>
    </row>
    <row r="352">
      <c r="F352" s="11"/>
      <c r="G352" s="11"/>
    </row>
    <row r="353">
      <c r="F353" s="11"/>
      <c r="G353" s="11"/>
    </row>
    <row r="354">
      <c r="F354" s="11"/>
      <c r="G354" s="11"/>
    </row>
    <row r="355">
      <c r="F355" s="11"/>
      <c r="G355" s="11"/>
    </row>
    <row r="356">
      <c r="F356" s="11"/>
      <c r="G356" s="11"/>
    </row>
    <row r="357">
      <c r="F357" s="11"/>
      <c r="G357" s="11"/>
    </row>
    <row r="358">
      <c r="F358" s="11"/>
      <c r="G358" s="11"/>
    </row>
    <row r="359">
      <c r="F359" s="11"/>
      <c r="G359" s="11"/>
    </row>
    <row r="360">
      <c r="F360" s="11"/>
      <c r="G360" s="11"/>
    </row>
    <row r="361">
      <c r="F361" s="11"/>
      <c r="G361" s="11"/>
    </row>
    <row r="362">
      <c r="F362" s="11"/>
      <c r="G362" s="11"/>
    </row>
    <row r="363">
      <c r="F363" s="11"/>
      <c r="G363" s="11"/>
    </row>
    <row r="364">
      <c r="F364" s="11"/>
      <c r="G364" s="11"/>
    </row>
    <row r="365">
      <c r="F365" s="11"/>
      <c r="G365" s="11"/>
    </row>
    <row r="366">
      <c r="F366" s="11"/>
      <c r="G366" s="11"/>
    </row>
    <row r="367">
      <c r="F367" s="11"/>
      <c r="G367" s="11"/>
    </row>
    <row r="368">
      <c r="F368" s="11"/>
      <c r="G368" s="11"/>
    </row>
    <row r="369">
      <c r="F369" s="11"/>
      <c r="G369" s="11"/>
    </row>
    <row r="370">
      <c r="F370" s="11"/>
      <c r="G370" s="11"/>
    </row>
    <row r="371">
      <c r="F371" s="11"/>
      <c r="G371" s="11"/>
    </row>
    <row r="372">
      <c r="F372" s="11"/>
      <c r="G372" s="11"/>
    </row>
    <row r="373">
      <c r="F373" s="11"/>
      <c r="G373" s="11"/>
    </row>
    <row r="374">
      <c r="F374" s="11"/>
      <c r="G374" s="11"/>
    </row>
    <row r="375">
      <c r="F375" s="11"/>
      <c r="G375" s="11"/>
    </row>
    <row r="376">
      <c r="F376" s="11"/>
      <c r="G376" s="11"/>
    </row>
    <row r="377">
      <c r="F377" s="11"/>
      <c r="G377" s="11"/>
    </row>
    <row r="378">
      <c r="F378" s="11"/>
      <c r="G378" s="11"/>
    </row>
    <row r="379">
      <c r="F379" s="11"/>
      <c r="G379" s="11"/>
    </row>
    <row r="380">
      <c r="F380" s="11"/>
      <c r="G380" s="11"/>
    </row>
    <row r="381">
      <c r="F381" s="11"/>
      <c r="G381" s="11"/>
    </row>
    <row r="382">
      <c r="F382" s="11"/>
      <c r="G382" s="11"/>
    </row>
    <row r="383">
      <c r="F383" s="11"/>
      <c r="G383" s="11"/>
    </row>
    <row r="384">
      <c r="F384" s="11"/>
      <c r="G384" s="11"/>
    </row>
    <row r="385">
      <c r="F385" s="11"/>
      <c r="G385" s="11"/>
    </row>
    <row r="386">
      <c r="F386" s="11"/>
      <c r="G386" s="11"/>
    </row>
    <row r="387">
      <c r="F387" s="11"/>
      <c r="G387" s="11"/>
    </row>
    <row r="388">
      <c r="F388" s="11"/>
      <c r="G388" s="11"/>
    </row>
    <row r="389">
      <c r="F389" s="11"/>
      <c r="G389" s="11"/>
    </row>
    <row r="390">
      <c r="F390" s="11"/>
      <c r="G390" s="11"/>
    </row>
    <row r="391">
      <c r="F391" s="11"/>
      <c r="G391" s="11"/>
    </row>
    <row r="392">
      <c r="F392" s="11"/>
      <c r="G392" s="11"/>
    </row>
    <row r="393">
      <c r="F393" s="11"/>
      <c r="G393" s="11"/>
    </row>
    <row r="394">
      <c r="F394" s="11"/>
      <c r="G394" s="11"/>
    </row>
    <row r="395">
      <c r="F395" s="11"/>
      <c r="G395" s="11"/>
    </row>
    <row r="396">
      <c r="F396" s="11"/>
      <c r="G396" s="11"/>
    </row>
    <row r="397">
      <c r="F397" s="11"/>
      <c r="G397" s="11"/>
    </row>
    <row r="398">
      <c r="F398" s="11"/>
      <c r="G398" s="11"/>
    </row>
    <row r="399">
      <c r="F399" s="11"/>
      <c r="G399" s="11"/>
    </row>
    <row r="400">
      <c r="F400" s="11"/>
      <c r="G400" s="11"/>
    </row>
    <row r="401">
      <c r="F401" s="11"/>
      <c r="G401" s="11"/>
    </row>
    <row r="402">
      <c r="F402" s="11"/>
      <c r="G402" s="11"/>
    </row>
    <row r="403">
      <c r="F403" s="11"/>
      <c r="G403" s="11"/>
    </row>
    <row r="404">
      <c r="F404" s="11"/>
      <c r="G404" s="11"/>
    </row>
    <row r="405">
      <c r="F405" s="11"/>
      <c r="G405" s="11"/>
    </row>
    <row r="406">
      <c r="F406" s="11"/>
      <c r="G406" s="11"/>
    </row>
    <row r="407">
      <c r="F407" s="11"/>
      <c r="G407" s="11"/>
    </row>
    <row r="408">
      <c r="F408" s="11"/>
      <c r="G408" s="11"/>
    </row>
    <row r="409">
      <c r="F409" s="11"/>
      <c r="G409" s="11"/>
    </row>
    <row r="410">
      <c r="F410" s="11"/>
      <c r="G410" s="11"/>
    </row>
    <row r="411">
      <c r="F411" s="11"/>
      <c r="G411" s="11"/>
    </row>
    <row r="412">
      <c r="F412" s="11"/>
      <c r="G412" s="11"/>
    </row>
    <row r="413">
      <c r="F413" s="11"/>
      <c r="G413" s="11"/>
    </row>
    <row r="414">
      <c r="F414" s="11"/>
      <c r="G414" s="11"/>
    </row>
    <row r="415">
      <c r="F415" s="11"/>
      <c r="G415" s="11"/>
    </row>
    <row r="416">
      <c r="F416" s="11"/>
      <c r="G416" s="11"/>
    </row>
    <row r="417">
      <c r="F417" s="11"/>
      <c r="G417" s="11"/>
    </row>
    <row r="418">
      <c r="F418" s="11"/>
      <c r="G418" s="11"/>
    </row>
    <row r="419">
      <c r="F419" s="11"/>
      <c r="G419" s="11"/>
    </row>
    <row r="420">
      <c r="F420" s="11"/>
      <c r="G420" s="11"/>
    </row>
    <row r="421">
      <c r="F421" s="11"/>
      <c r="G421" s="11"/>
    </row>
    <row r="422">
      <c r="F422" s="11"/>
      <c r="G422" s="11"/>
    </row>
    <row r="423">
      <c r="F423" s="11"/>
      <c r="G423" s="11"/>
    </row>
    <row r="424">
      <c r="F424" s="11"/>
      <c r="G424" s="11"/>
    </row>
    <row r="425">
      <c r="F425" s="11"/>
      <c r="G425" s="11"/>
    </row>
    <row r="426">
      <c r="F426" s="11"/>
      <c r="G426" s="11"/>
    </row>
    <row r="427">
      <c r="F427" s="11"/>
      <c r="G427" s="11"/>
    </row>
    <row r="428">
      <c r="F428" s="11"/>
      <c r="G428" s="11"/>
    </row>
    <row r="429">
      <c r="F429" s="11"/>
      <c r="G429" s="11"/>
    </row>
    <row r="430">
      <c r="F430" s="11"/>
      <c r="G430" s="11"/>
    </row>
    <row r="431">
      <c r="F431" s="11"/>
      <c r="G431" s="11"/>
    </row>
    <row r="432">
      <c r="F432" s="11"/>
      <c r="G432" s="11"/>
    </row>
    <row r="433">
      <c r="F433" s="11"/>
      <c r="G433" s="11"/>
    </row>
    <row r="434">
      <c r="F434" s="11"/>
      <c r="G434" s="11"/>
    </row>
    <row r="435">
      <c r="F435" s="11"/>
      <c r="G435" s="11"/>
    </row>
    <row r="436">
      <c r="F436" s="11"/>
      <c r="G436" s="11"/>
    </row>
    <row r="437">
      <c r="F437" s="11"/>
      <c r="G437" s="11"/>
    </row>
    <row r="438">
      <c r="F438" s="11"/>
      <c r="G438" s="11"/>
    </row>
    <row r="439">
      <c r="F439" s="11"/>
      <c r="G439" s="11"/>
    </row>
    <row r="440">
      <c r="F440" s="11"/>
      <c r="G440" s="11"/>
    </row>
    <row r="441">
      <c r="F441" s="11"/>
      <c r="G441" s="11"/>
    </row>
    <row r="442">
      <c r="F442" s="11"/>
      <c r="G442" s="11"/>
    </row>
    <row r="443">
      <c r="F443" s="11"/>
      <c r="G443" s="11"/>
    </row>
    <row r="444">
      <c r="F444" s="11"/>
      <c r="G444" s="11"/>
    </row>
    <row r="445">
      <c r="F445" s="11"/>
      <c r="G445" s="11"/>
    </row>
    <row r="446">
      <c r="F446" s="11"/>
      <c r="G446" s="11"/>
    </row>
    <row r="447">
      <c r="F447" s="11"/>
      <c r="G447" s="11"/>
    </row>
    <row r="448">
      <c r="F448" s="11"/>
      <c r="G448" s="11"/>
    </row>
    <row r="449">
      <c r="F449" s="11"/>
      <c r="G449" s="11"/>
    </row>
    <row r="450">
      <c r="F450" s="11"/>
      <c r="G450" s="11"/>
    </row>
    <row r="451">
      <c r="F451" s="11"/>
      <c r="G451" s="11"/>
    </row>
    <row r="452">
      <c r="F452" s="11"/>
      <c r="G452" s="11"/>
    </row>
    <row r="453">
      <c r="F453" s="11"/>
      <c r="G453" s="11"/>
    </row>
    <row r="454">
      <c r="F454" s="11"/>
      <c r="G454" s="11"/>
    </row>
    <row r="455">
      <c r="F455" s="11"/>
      <c r="G455" s="11"/>
    </row>
    <row r="456">
      <c r="F456" s="11"/>
      <c r="G456" s="11"/>
    </row>
    <row r="457">
      <c r="F457" s="11"/>
      <c r="G457" s="11"/>
    </row>
    <row r="458">
      <c r="F458" s="11"/>
      <c r="G458" s="11"/>
    </row>
    <row r="459">
      <c r="F459" s="11"/>
      <c r="G459" s="11"/>
    </row>
    <row r="460">
      <c r="F460" s="11"/>
      <c r="G460" s="11"/>
    </row>
    <row r="461">
      <c r="F461" s="11"/>
      <c r="G461" s="11"/>
    </row>
    <row r="462">
      <c r="F462" s="11"/>
      <c r="G462" s="11"/>
    </row>
    <row r="463">
      <c r="F463" s="11"/>
      <c r="G463" s="11"/>
    </row>
    <row r="464">
      <c r="F464" s="11"/>
      <c r="G464" s="11"/>
    </row>
    <row r="465">
      <c r="F465" s="11"/>
      <c r="G465" s="11"/>
    </row>
    <row r="466">
      <c r="F466" s="11"/>
      <c r="G466" s="11"/>
    </row>
    <row r="467">
      <c r="F467" s="11"/>
      <c r="G467" s="11"/>
    </row>
    <row r="468">
      <c r="F468" s="11"/>
      <c r="G468" s="11"/>
    </row>
    <row r="469">
      <c r="F469" s="11"/>
      <c r="G469" s="11"/>
    </row>
    <row r="470">
      <c r="F470" s="11"/>
      <c r="G470" s="11"/>
    </row>
    <row r="471">
      <c r="F471" s="11"/>
      <c r="G471" s="11"/>
    </row>
    <row r="472">
      <c r="F472" s="11"/>
      <c r="G472" s="11"/>
    </row>
    <row r="473">
      <c r="F473" s="11"/>
      <c r="G473" s="11"/>
    </row>
    <row r="474">
      <c r="F474" s="11"/>
      <c r="G474" s="11"/>
    </row>
    <row r="475">
      <c r="F475" s="11"/>
      <c r="G475" s="11"/>
    </row>
    <row r="476">
      <c r="F476" s="11"/>
      <c r="G476" s="11"/>
    </row>
    <row r="477">
      <c r="F477" s="11"/>
      <c r="G477" s="11"/>
    </row>
    <row r="478">
      <c r="F478" s="11"/>
      <c r="G478" s="11"/>
    </row>
    <row r="479">
      <c r="F479" s="11"/>
      <c r="G479" s="11"/>
    </row>
    <row r="480">
      <c r="F480" s="11"/>
      <c r="G480" s="11"/>
    </row>
    <row r="481">
      <c r="F481" s="11"/>
      <c r="G481" s="11"/>
    </row>
    <row r="482">
      <c r="F482" s="11"/>
      <c r="G482" s="11"/>
    </row>
    <row r="483">
      <c r="F483" s="11"/>
      <c r="G483" s="11"/>
    </row>
    <row r="484">
      <c r="F484" s="11"/>
      <c r="G484" s="11"/>
    </row>
    <row r="485">
      <c r="F485" s="11"/>
      <c r="G485" s="11"/>
    </row>
    <row r="486">
      <c r="F486" s="11"/>
      <c r="G486" s="11"/>
    </row>
    <row r="487">
      <c r="F487" s="11"/>
      <c r="G487" s="11"/>
    </row>
    <row r="488">
      <c r="F488" s="11"/>
      <c r="G488" s="11"/>
    </row>
    <row r="489">
      <c r="F489" s="11"/>
      <c r="G489" s="11"/>
    </row>
    <row r="490">
      <c r="F490" s="11"/>
      <c r="G490" s="11"/>
    </row>
    <row r="491">
      <c r="F491" s="11"/>
      <c r="G491" s="11"/>
    </row>
    <row r="492">
      <c r="F492" s="11"/>
      <c r="G492" s="11"/>
    </row>
    <row r="493">
      <c r="F493" s="11"/>
      <c r="G493" s="11"/>
    </row>
    <row r="494">
      <c r="F494" s="11"/>
      <c r="G494" s="11"/>
    </row>
    <row r="495">
      <c r="F495" s="11"/>
      <c r="G495" s="11"/>
    </row>
    <row r="496">
      <c r="F496" s="11"/>
      <c r="G496" s="11"/>
    </row>
    <row r="497">
      <c r="F497" s="11"/>
      <c r="G497" s="11"/>
    </row>
    <row r="498">
      <c r="F498" s="11"/>
      <c r="G498" s="11"/>
    </row>
    <row r="499">
      <c r="F499" s="11"/>
      <c r="G499" s="11"/>
    </row>
    <row r="500">
      <c r="F500" s="11"/>
      <c r="G500" s="11"/>
    </row>
    <row r="501">
      <c r="F501" s="11"/>
      <c r="G501" s="11"/>
    </row>
    <row r="502">
      <c r="F502" s="11"/>
      <c r="G502" s="11"/>
    </row>
    <row r="503">
      <c r="F503" s="11"/>
      <c r="G503" s="11"/>
    </row>
    <row r="504">
      <c r="F504" s="11"/>
      <c r="G504" s="11"/>
    </row>
    <row r="505">
      <c r="F505" s="11"/>
      <c r="G505" s="11"/>
    </row>
    <row r="506">
      <c r="F506" s="11"/>
      <c r="G506" s="11"/>
    </row>
    <row r="507">
      <c r="F507" s="11"/>
      <c r="G507" s="11"/>
    </row>
    <row r="508">
      <c r="F508" s="11"/>
      <c r="G508" s="11"/>
    </row>
    <row r="509">
      <c r="F509" s="11"/>
      <c r="G509" s="11"/>
    </row>
    <row r="510">
      <c r="F510" s="11"/>
      <c r="G510" s="11"/>
    </row>
    <row r="511">
      <c r="F511" s="11"/>
      <c r="G511" s="11"/>
    </row>
    <row r="512">
      <c r="F512" s="11"/>
      <c r="G512" s="11"/>
    </row>
    <row r="513">
      <c r="F513" s="11"/>
      <c r="G513" s="11"/>
    </row>
    <row r="514">
      <c r="F514" s="11"/>
      <c r="G514" s="11"/>
    </row>
    <row r="515">
      <c r="F515" s="11"/>
      <c r="G515" s="11"/>
    </row>
    <row r="516">
      <c r="F516" s="11"/>
      <c r="G516" s="11"/>
    </row>
    <row r="517">
      <c r="F517" s="11"/>
      <c r="G517" s="11"/>
    </row>
    <row r="518">
      <c r="F518" s="11"/>
      <c r="G518" s="11"/>
    </row>
    <row r="519">
      <c r="F519" s="11"/>
      <c r="G519" s="11"/>
    </row>
    <row r="520">
      <c r="F520" s="11"/>
      <c r="G520" s="11"/>
    </row>
    <row r="521">
      <c r="F521" s="11"/>
      <c r="G521" s="11"/>
    </row>
    <row r="522">
      <c r="F522" s="11"/>
      <c r="G522" s="11"/>
    </row>
    <row r="523">
      <c r="F523" s="11"/>
      <c r="G523" s="11"/>
    </row>
    <row r="524">
      <c r="F524" s="11"/>
      <c r="G524" s="11"/>
    </row>
    <row r="525">
      <c r="F525" s="11"/>
      <c r="G525" s="11"/>
    </row>
    <row r="526">
      <c r="F526" s="11"/>
      <c r="G526" s="11"/>
    </row>
    <row r="527">
      <c r="F527" s="11"/>
      <c r="G527" s="11"/>
    </row>
    <row r="528">
      <c r="F528" s="11"/>
      <c r="G528" s="11"/>
    </row>
    <row r="529">
      <c r="F529" s="11"/>
      <c r="G529" s="11"/>
    </row>
    <row r="530">
      <c r="F530" s="11"/>
      <c r="G530" s="11"/>
    </row>
    <row r="531">
      <c r="F531" s="11"/>
      <c r="G531" s="11"/>
    </row>
    <row r="532">
      <c r="F532" s="11"/>
      <c r="G532" s="11"/>
    </row>
    <row r="533">
      <c r="F533" s="11"/>
      <c r="G533" s="11"/>
    </row>
    <row r="534">
      <c r="F534" s="11"/>
      <c r="G534" s="11"/>
    </row>
    <row r="535">
      <c r="F535" s="11"/>
      <c r="G535" s="11"/>
    </row>
    <row r="536">
      <c r="F536" s="11"/>
      <c r="G536" s="11"/>
    </row>
    <row r="537">
      <c r="F537" s="11"/>
      <c r="G537" s="11"/>
    </row>
    <row r="538">
      <c r="F538" s="11"/>
      <c r="G538" s="11"/>
    </row>
    <row r="539">
      <c r="F539" s="11"/>
      <c r="G539" s="11"/>
    </row>
    <row r="540">
      <c r="F540" s="11"/>
      <c r="G540" s="11"/>
    </row>
    <row r="541">
      <c r="F541" s="11"/>
      <c r="G541" s="11"/>
    </row>
    <row r="542">
      <c r="F542" s="11"/>
      <c r="G542" s="11"/>
    </row>
    <row r="543">
      <c r="F543" s="11"/>
      <c r="G543" s="11"/>
    </row>
    <row r="544">
      <c r="F544" s="11"/>
      <c r="G544" s="11"/>
    </row>
    <row r="545">
      <c r="F545" s="11"/>
      <c r="G545" s="11"/>
    </row>
    <row r="546">
      <c r="F546" s="11"/>
      <c r="G546" s="11"/>
    </row>
    <row r="547">
      <c r="F547" s="11"/>
      <c r="G547" s="11"/>
    </row>
    <row r="548">
      <c r="F548" s="11"/>
      <c r="G548" s="11"/>
    </row>
    <row r="549">
      <c r="F549" s="11"/>
      <c r="G549" s="11"/>
    </row>
    <row r="550">
      <c r="F550" s="11"/>
      <c r="G550" s="11"/>
    </row>
    <row r="551">
      <c r="F551" s="11"/>
      <c r="G551" s="11"/>
    </row>
    <row r="552">
      <c r="F552" s="11"/>
      <c r="G552" s="11"/>
    </row>
    <row r="553">
      <c r="F553" s="11"/>
      <c r="G553" s="11"/>
    </row>
    <row r="554">
      <c r="F554" s="11"/>
      <c r="G554" s="11"/>
    </row>
    <row r="555">
      <c r="F555" s="11"/>
      <c r="G555" s="11"/>
    </row>
    <row r="556">
      <c r="F556" s="11"/>
      <c r="G556" s="11"/>
    </row>
    <row r="557">
      <c r="F557" s="11"/>
      <c r="G557" s="11"/>
    </row>
    <row r="558">
      <c r="F558" s="11"/>
      <c r="G558" s="11"/>
    </row>
    <row r="559">
      <c r="F559" s="11"/>
      <c r="G559" s="11"/>
    </row>
    <row r="560">
      <c r="F560" s="11"/>
      <c r="G560" s="11"/>
    </row>
    <row r="561">
      <c r="F561" s="11"/>
      <c r="G561" s="11"/>
    </row>
    <row r="562">
      <c r="F562" s="11"/>
      <c r="G562" s="11"/>
    </row>
    <row r="563">
      <c r="F563" s="11"/>
      <c r="G563" s="11"/>
    </row>
    <row r="564">
      <c r="F564" s="11"/>
      <c r="G564" s="11"/>
    </row>
    <row r="565">
      <c r="F565" s="11"/>
      <c r="G565" s="11"/>
    </row>
    <row r="566">
      <c r="F566" s="11"/>
      <c r="G566" s="11"/>
    </row>
    <row r="567">
      <c r="F567" s="11"/>
      <c r="G567" s="11"/>
    </row>
    <row r="568">
      <c r="F568" s="11"/>
      <c r="G568" s="11"/>
    </row>
    <row r="569">
      <c r="F569" s="11"/>
      <c r="G569" s="11"/>
    </row>
    <row r="570">
      <c r="F570" s="11"/>
      <c r="G570" s="11"/>
    </row>
    <row r="571">
      <c r="F571" s="11"/>
      <c r="G571" s="11"/>
    </row>
    <row r="572">
      <c r="F572" s="11"/>
      <c r="G572" s="11"/>
    </row>
    <row r="573">
      <c r="F573" s="11"/>
      <c r="G573" s="11"/>
    </row>
    <row r="574">
      <c r="F574" s="11"/>
      <c r="G574" s="11"/>
    </row>
    <row r="575">
      <c r="F575" s="11"/>
      <c r="G575" s="11"/>
    </row>
    <row r="576">
      <c r="F576" s="11"/>
      <c r="G576" s="11"/>
    </row>
    <row r="577">
      <c r="F577" s="11"/>
      <c r="G577" s="11"/>
    </row>
    <row r="578">
      <c r="F578" s="11"/>
      <c r="G578" s="11"/>
    </row>
    <row r="579">
      <c r="F579" s="11"/>
      <c r="G579" s="11"/>
    </row>
    <row r="580">
      <c r="F580" s="11"/>
      <c r="G580" s="11"/>
    </row>
    <row r="581">
      <c r="F581" s="11"/>
      <c r="G581" s="11"/>
    </row>
    <row r="582">
      <c r="F582" s="11"/>
      <c r="G582" s="11"/>
    </row>
    <row r="583">
      <c r="F583" s="11"/>
      <c r="G583" s="11"/>
    </row>
    <row r="584">
      <c r="F584" s="11"/>
      <c r="G584" s="11"/>
    </row>
    <row r="585">
      <c r="F585" s="11"/>
      <c r="G585" s="11"/>
    </row>
    <row r="586">
      <c r="F586" s="11"/>
      <c r="G586" s="11"/>
    </row>
    <row r="587">
      <c r="F587" s="11"/>
      <c r="G587" s="11"/>
    </row>
    <row r="588">
      <c r="F588" s="11"/>
      <c r="G588" s="11"/>
    </row>
    <row r="589">
      <c r="F589" s="11"/>
      <c r="G589" s="11"/>
    </row>
    <row r="590">
      <c r="F590" s="11"/>
      <c r="G590" s="11"/>
    </row>
    <row r="591">
      <c r="F591" s="11"/>
      <c r="G591" s="11"/>
    </row>
    <row r="592">
      <c r="F592" s="11"/>
      <c r="G592" s="11"/>
    </row>
    <row r="593">
      <c r="F593" s="11"/>
      <c r="G593" s="11"/>
    </row>
    <row r="594">
      <c r="F594" s="11"/>
      <c r="G594" s="11"/>
    </row>
    <row r="595">
      <c r="F595" s="11"/>
      <c r="G595" s="11"/>
    </row>
    <row r="596">
      <c r="F596" s="11"/>
      <c r="G596" s="11"/>
    </row>
    <row r="597">
      <c r="F597" s="11"/>
      <c r="G597" s="11"/>
    </row>
    <row r="598">
      <c r="F598" s="11"/>
      <c r="G598" s="11"/>
    </row>
    <row r="599">
      <c r="F599" s="11"/>
      <c r="G599" s="11"/>
    </row>
    <row r="600">
      <c r="F600" s="11"/>
      <c r="G600" s="11"/>
    </row>
    <row r="601">
      <c r="F601" s="11"/>
      <c r="G601" s="11"/>
    </row>
    <row r="602">
      <c r="F602" s="11"/>
      <c r="G602" s="11"/>
    </row>
    <row r="603">
      <c r="F603" s="11"/>
      <c r="G603" s="11"/>
    </row>
    <row r="604">
      <c r="F604" s="11"/>
      <c r="G604" s="11"/>
    </row>
    <row r="605">
      <c r="F605" s="11"/>
      <c r="G605" s="11"/>
    </row>
    <row r="606">
      <c r="F606" s="11"/>
      <c r="G606" s="11"/>
    </row>
    <row r="607">
      <c r="F607" s="11"/>
      <c r="G607" s="11"/>
    </row>
    <row r="608">
      <c r="F608" s="11"/>
      <c r="G608" s="11"/>
    </row>
    <row r="609">
      <c r="F609" s="11"/>
      <c r="G609" s="11"/>
    </row>
    <row r="610">
      <c r="F610" s="11"/>
      <c r="G610" s="11"/>
    </row>
    <row r="611">
      <c r="F611" s="11"/>
      <c r="G611" s="11"/>
    </row>
    <row r="612">
      <c r="F612" s="11"/>
      <c r="G612" s="11"/>
    </row>
    <row r="613">
      <c r="F613" s="11"/>
      <c r="G613" s="11"/>
    </row>
    <row r="614">
      <c r="F614" s="11"/>
      <c r="G614" s="11"/>
    </row>
    <row r="615">
      <c r="F615" s="11"/>
      <c r="G615" s="11"/>
    </row>
    <row r="616">
      <c r="F616" s="11"/>
      <c r="G616" s="11"/>
    </row>
    <row r="617">
      <c r="F617" s="11"/>
      <c r="G617" s="11"/>
    </row>
    <row r="618">
      <c r="F618" s="11"/>
      <c r="G618" s="11"/>
    </row>
    <row r="619">
      <c r="F619" s="11"/>
      <c r="G619" s="11"/>
    </row>
    <row r="620">
      <c r="F620" s="11"/>
      <c r="G620" s="11"/>
    </row>
    <row r="621">
      <c r="F621" s="11"/>
      <c r="G621" s="11"/>
    </row>
    <row r="622">
      <c r="F622" s="11"/>
      <c r="G622" s="11"/>
    </row>
    <row r="623">
      <c r="F623" s="11"/>
      <c r="G623" s="11"/>
    </row>
    <row r="624">
      <c r="F624" s="11"/>
      <c r="G624" s="11"/>
    </row>
    <row r="625">
      <c r="F625" s="11"/>
      <c r="G625" s="11"/>
    </row>
    <row r="626">
      <c r="F626" s="11"/>
      <c r="G626" s="11"/>
    </row>
    <row r="627">
      <c r="F627" s="11"/>
      <c r="G627" s="11"/>
    </row>
    <row r="628">
      <c r="F628" s="11"/>
      <c r="G628" s="11"/>
    </row>
    <row r="629">
      <c r="F629" s="11"/>
      <c r="G629" s="11"/>
    </row>
    <row r="630">
      <c r="F630" s="11"/>
      <c r="G630" s="11"/>
    </row>
    <row r="631">
      <c r="F631" s="11"/>
      <c r="G631" s="11"/>
    </row>
    <row r="632">
      <c r="F632" s="11"/>
      <c r="G632" s="11"/>
    </row>
    <row r="633">
      <c r="F633" s="11"/>
      <c r="G633" s="11"/>
    </row>
    <row r="634">
      <c r="F634" s="11"/>
      <c r="G634" s="11"/>
    </row>
    <row r="635">
      <c r="F635" s="11"/>
      <c r="G635" s="11"/>
    </row>
    <row r="636">
      <c r="F636" s="11"/>
      <c r="G636" s="11"/>
    </row>
    <row r="637">
      <c r="F637" s="11"/>
      <c r="G637" s="11"/>
    </row>
    <row r="638">
      <c r="F638" s="11"/>
      <c r="G638" s="11"/>
    </row>
    <row r="639">
      <c r="F639" s="11"/>
      <c r="G639" s="11"/>
    </row>
    <row r="640">
      <c r="F640" s="11"/>
      <c r="G640" s="11"/>
    </row>
    <row r="641">
      <c r="F641" s="11"/>
      <c r="G641" s="11"/>
    </row>
    <row r="642">
      <c r="F642" s="11"/>
      <c r="G642" s="11"/>
    </row>
    <row r="643">
      <c r="F643" s="11"/>
      <c r="G643" s="11"/>
    </row>
    <row r="644">
      <c r="F644" s="11"/>
      <c r="G644" s="11"/>
    </row>
    <row r="645">
      <c r="F645" s="11"/>
      <c r="G645" s="11"/>
    </row>
    <row r="646">
      <c r="F646" s="11"/>
      <c r="G646" s="11"/>
    </row>
    <row r="647">
      <c r="F647" s="11"/>
      <c r="G647" s="11"/>
    </row>
    <row r="648">
      <c r="F648" s="11"/>
      <c r="G648" s="11"/>
    </row>
    <row r="649">
      <c r="F649" s="11"/>
      <c r="G649" s="11"/>
    </row>
    <row r="650">
      <c r="F650" s="11"/>
      <c r="G650" s="11"/>
    </row>
    <row r="651">
      <c r="F651" s="11"/>
      <c r="G651" s="11"/>
    </row>
    <row r="652">
      <c r="F652" s="11"/>
      <c r="G652" s="11"/>
    </row>
    <row r="653">
      <c r="F653" s="11"/>
      <c r="G653" s="11"/>
    </row>
    <row r="654">
      <c r="F654" s="11"/>
      <c r="G654" s="11"/>
    </row>
    <row r="655">
      <c r="F655" s="11"/>
      <c r="G655" s="11"/>
    </row>
    <row r="656">
      <c r="F656" s="11"/>
      <c r="G656" s="11"/>
    </row>
    <row r="657">
      <c r="F657" s="11"/>
      <c r="G657" s="11"/>
    </row>
    <row r="658">
      <c r="F658" s="11"/>
      <c r="G658" s="11"/>
    </row>
    <row r="659">
      <c r="F659" s="11"/>
      <c r="G659" s="11"/>
    </row>
    <row r="660">
      <c r="F660" s="11"/>
      <c r="G660" s="11"/>
    </row>
    <row r="661">
      <c r="F661" s="11"/>
      <c r="G661" s="11"/>
    </row>
    <row r="662">
      <c r="F662" s="11"/>
      <c r="G662" s="11"/>
    </row>
    <row r="663">
      <c r="F663" s="11"/>
      <c r="G663" s="11"/>
    </row>
    <row r="664">
      <c r="F664" s="11"/>
      <c r="G664" s="11"/>
    </row>
    <row r="665">
      <c r="F665" s="11"/>
      <c r="G665" s="11"/>
    </row>
    <row r="666">
      <c r="F666" s="11"/>
      <c r="G666" s="11"/>
    </row>
    <row r="667">
      <c r="F667" s="11"/>
      <c r="G667" s="11"/>
    </row>
    <row r="668">
      <c r="F668" s="11"/>
      <c r="G668" s="11"/>
    </row>
    <row r="669">
      <c r="F669" s="11"/>
      <c r="G669" s="11"/>
    </row>
    <row r="670">
      <c r="F670" s="11"/>
      <c r="G670" s="11"/>
    </row>
    <row r="671">
      <c r="F671" s="11"/>
      <c r="G671" s="11"/>
    </row>
    <row r="672">
      <c r="F672" s="11"/>
      <c r="G672" s="11"/>
    </row>
    <row r="673">
      <c r="F673" s="11"/>
      <c r="G673" s="11"/>
    </row>
    <row r="674">
      <c r="F674" s="11"/>
      <c r="G674" s="11"/>
    </row>
    <row r="675">
      <c r="F675" s="11"/>
      <c r="G675" s="11"/>
    </row>
    <row r="676">
      <c r="F676" s="11"/>
      <c r="G676" s="11"/>
    </row>
    <row r="677">
      <c r="F677" s="11"/>
      <c r="G677" s="11"/>
    </row>
    <row r="678">
      <c r="F678" s="11"/>
      <c r="G678" s="11"/>
    </row>
    <row r="679">
      <c r="F679" s="11"/>
      <c r="G679" s="11"/>
    </row>
    <row r="680">
      <c r="F680" s="11"/>
      <c r="G680" s="11"/>
    </row>
    <row r="681">
      <c r="F681" s="11"/>
      <c r="G681" s="11"/>
    </row>
    <row r="682">
      <c r="F682" s="11"/>
      <c r="G682" s="11"/>
    </row>
    <row r="683">
      <c r="F683" s="11"/>
      <c r="G683" s="11"/>
    </row>
    <row r="684">
      <c r="F684" s="11"/>
      <c r="G684" s="11"/>
    </row>
    <row r="685">
      <c r="F685" s="11"/>
      <c r="G685" s="11"/>
    </row>
    <row r="686">
      <c r="F686" s="11"/>
      <c r="G686" s="11"/>
    </row>
    <row r="687">
      <c r="F687" s="11"/>
      <c r="G687" s="11"/>
    </row>
    <row r="688">
      <c r="F688" s="11"/>
      <c r="G688" s="11"/>
    </row>
    <row r="689">
      <c r="F689" s="11"/>
      <c r="G689" s="11"/>
    </row>
    <row r="690">
      <c r="F690" s="11"/>
      <c r="G690" s="11"/>
    </row>
    <row r="691">
      <c r="F691" s="11"/>
      <c r="G691" s="11"/>
    </row>
    <row r="692">
      <c r="F692" s="11"/>
      <c r="G692" s="11"/>
    </row>
    <row r="693">
      <c r="F693" s="11"/>
      <c r="G693" s="11"/>
    </row>
    <row r="694">
      <c r="F694" s="11"/>
      <c r="G694" s="11"/>
    </row>
    <row r="695">
      <c r="F695" s="11"/>
      <c r="G695" s="11"/>
    </row>
    <row r="696">
      <c r="F696" s="11"/>
      <c r="G696" s="11"/>
    </row>
    <row r="697">
      <c r="F697" s="11"/>
      <c r="G697" s="11"/>
    </row>
    <row r="698">
      <c r="F698" s="11"/>
      <c r="G698" s="11"/>
    </row>
    <row r="699">
      <c r="F699" s="11"/>
      <c r="G699" s="11"/>
    </row>
    <row r="700">
      <c r="F700" s="11"/>
      <c r="G700" s="11"/>
    </row>
    <row r="701">
      <c r="F701" s="11"/>
      <c r="G701" s="11"/>
    </row>
    <row r="702">
      <c r="F702" s="11"/>
      <c r="G702" s="11"/>
    </row>
    <row r="703">
      <c r="F703" s="11"/>
      <c r="G703" s="11"/>
    </row>
    <row r="704">
      <c r="F704" s="11"/>
      <c r="G704" s="11"/>
    </row>
    <row r="705">
      <c r="F705" s="11"/>
      <c r="G705" s="11"/>
    </row>
    <row r="706">
      <c r="F706" s="11"/>
      <c r="G706" s="11"/>
    </row>
    <row r="707">
      <c r="F707" s="11"/>
      <c r="G707" s="11"/>
    </row>
    <row r="708">
      <c r="F708" s="11"/>
      <c r="G708" s="11"/>
    </row>
    <row r="709">
      <c r="F709" s="11"/>
      <c r="G709" s="11"/>
    </row>
    <row r="710">
      <c r="F710" s="11"/>
      <c r="G710" s="11"/>
    </row>
    <row r="711">
      <c r="F711" s="11"/>
      <c r="G711" s="11"/>
    </row>
    <row r="712">
      <c r="F712" s="11"/>
      <c r="G712" s="11"/>
    </row>
    <row r="713">
      <c r="F713" s="11"/>
      <c r="G713" s="11"/>
    </row>
    <row r="714">
      <c r="F714" s="11"/>
      <c r="G714" s="11"/>
    </row>
    <row r="715">
      <c r="F715" s="11"/>
      <c r="G715" s="11"/>
    </row>
    <row r="716">
      <c r="F716" s="11"/>
      <c r="G716" s="11"/>
    </row>
    <row r="717">
      <c r="F717" s="11"/>
      <c r="G717" s="11"/>
    </row>
    <row r="718">
      <c r="F718" s="11"/>
      <c r="G718" s="11"/>
    </row>
    <row r="719">
      <c r="F719" s="11"/>
      <c r="G719" s="11"/>
    </row>
    <row r="720">
      <c r="F720" s="11"/>
      <c r="G720" s="11"/>
    </row>
    <row r="721">
      <c r="F721" s="11"/>
      <c r="G721" s="11"/>
    </row>
    <row r="722">
      <c r="F722" s="11"/>
      <c r="G722" s="11"/>
    </row>
    <row r="723">
      <c r="F723" s="11"/>
      <c r="G723" s="11"/>
    </row>
    <row r="724">
      <c r="F724" s="11"/>
      <c r="G724" s="11"/>
    </row>
    <row r="725">
      <c r="F725" s="11"/>
      <c r="G725" s="11"/>
    </row>
    <row r="726">
      <c r="F726" s="11"/>
      <c r="G726" s="11"/>
    </row>
    <row r="727">
      <c r="F727" s="11"/>
      <c r="G727" s="11"/>
    </row>
    <row r="728">
      <c r="F728" s="11"/>
      <c r="G728" s="11"/>
    </row>
    <row r="729">
      <c r="F729" s="11"/>
      <c r="G729" s="11"/>
    </row>
    <row r="730">
      <c r="F730" s="11"/>
      <c r="G730" s="11"/>
    </row>
    <row r="731">
      <c r="F731" s="11"/>
      <c r="G731" s="11"/>
    </row>
    <row r="732">
      <c r="F732" s="11"/>
      <c r="G732" s="11"/>
    </row>
    <row r="733">
      <c r="F733" s="11"/>
      <c r="G733" s="11"/>
    </row>
    <row r="734">
      <c r="F734" s="11"/>
      <c r="G734" s="11"/>
    </row>
    <row r="735">
      <c r="F735" s="11"/>
      <c r="G735" s="11"/>
    </row>
    <row r="736">
      <c r="F736" s="11"/>
      <c r="G736" s="11"/>
    </row>
    <row r="737">
      <c r="F737" s="11"/>
      <c r="G737" s="11"/>
    </row>
    <row r="738">
      <c r="F738" s="11"/>
      <c r="G738" s="11"/>
    </row>
    <row r="739">
      <c r="F739" s="11"/>
      <c r="G739" s="11"/>
    </row>
    <row r="740">
      <c r="F740" s="11"/>
      <c r="G740" s="11"/>
    </row>
    <row r="741">
      <c r="F741" s="11"/>
      <c r="G741" s="11"/>
    </row>
    <row r="742">
      <c r="F742" s="11"/>
      <c r="G742" s="11"/>
    </row>
    <row r="743">
      <c r="F743" s="11"/>
      <c r="G743" s="11"/>
    </row>
    <row r="744">
      <c r="F744" s="11"/>
      <c r="G744" s="11"/>
    </row>
    <row r="745">
      <c r="F745" s="11"/>
      <c r="G745" s="11"/>
    </row>
    <row r="746">
      <c r="F746" s="11"/>
      <c r="G746" s="11"/>
    </row>
    <row r="747">
      <c r="F747" s="11"/>
      <c r="G747" s="11"/>
    </row>
    <row r="748">
      <c r="F748" s="11"/>
      <c r="G748" s="11"/>
    </row>
    <row r="749">
      <c r="F749" s="11"/>
      <c r="G749" s="11"/>
    </row>
    <row r="750">
      <c r="F750" s="11"/>
      <c r="G750" s="11"/>
    </row>
    <row r="751">
      <c r="F751" s="11"/>
      <c r="G751" s="11"/>
    </row>
    <row r="752">
      <c r="F752" s="11"/>
      <c r="G752" s="11"/>
    </row>
    <row r="753">
      <c r="F753" s="11"/>
      <c r="G753" s="11"/>
    </row>
    <row r="754">
      <c r="F754" s="11"/>
      <c r="G754" s="11"/>
    </row>
    <row r="755">
      <c r="F755" s="11"/>
      <c r="G755" s="11"/>
    </row>
    <row r="756">
      <c r="F756" s="11"/>
      <c r="G756" s="11"/>
    </row>
    <row r="757">
      <c r="F757" s="11"/>
      <c r="G757" s="11"/>
    </row>
    <row r="758">
      <c r="F758" s="11"/>
      <c r="G758" s="11"/>
    </row>
    <row r="759">
      <c r="F759" s="11"/>
      <c r="G759" s="11"/>
    </row>
    <row r="760">
      <c r="F760" s="11"/>
      <c r="G760" s="11"/>
    </row>
    <row r="761">
      <c r="F761" s="11"/>
      <c r="G761" s="11"/>
    </row>
    <row r="762">
      <c r="F762" s="11"/>
      <c r="G762" s="11"/>
    </row>
    <row r="763">
      <c r="F763" s="11"/>
      <c r="G763" s="11"/>
    </row>
    <row r="764">
      <c r="F764" s="11"/>
      <c r="G764" s="11"/>
    </row>
    <row r="765">
      <c r="F765" s="11"/>
      <c r="G765" s="11"/>
    </row>
    <row r="766">
      <c r="F766" s="11"/>
      <c r="G766" s="11"/>
    </row>
    <row r="767">
      <c r="F767" s="11"/>
      <c r="G767" s="11"/>
    </row>
    <row r="768">
      <c r="F768" s="11"/>
      <c r="G768" s="11"/>
    </row>
    <row r="769">
      <c r="F769" s="11"/>
      <c r="G769" s="11"/>
    </row>
    <row r="770">
      <c r="F770" s="11"/>
      <c r="G770" s="11"/>
    </row>
    <row r="771">
      <c r="F771" s="11"/>
      <c r="G771" s="11"/>
    </row>
    <row r="772">
      <c r="F772" s="11"/>
      <c r="G772" s="11"/>
    </row>
    <row r="773">
      <c r="F773" s="11"/>
      <c r="G773" s="11"/>
    </row>
    <row r="774">
      <c r="F774" s="11"/>
      <c r="G774" s="11"/>
    </row>
    <row r="775">
      <c r="F775" s="11"/>
      <c r="G775" s="11"/>
    </row>
    <row r="776">
      <c r="F776" s="11"/>
      <c r="G776" s="11"/>
    </row>
    <row r="777">
      <c r="F777" s="11"/>
      <c r="G777" s="11"/>
    </row>
    <row r="778">
      <c r="F778" s="11"/>
      <c r="G778" s="11"/>
    </row>
    <row r="779">
      <c r="F779" s="11"/>
      <c r="G779" s="11"/>
    </row>
    <row r="780">
      <c r="F780" s="11"/>
      <c r="G780" s="11"/>
    </row>
    <row r="781">
      <c r="F781" s="11"/>
      <c r="G781" s="11"/>
    </row>
    <row r="782">
      <c r="F782" s="11"/>
      <c r="G782" s="11"/>
    </row>
    <row r="783">
      <c r="F783" s="11"/>
      <c r="G783" s="11"/>
    </row>
    <row r="784">
      <c r="F784" s="11"/>
      <c r="G784" s="11"/>
    </row>
    <row r="785">
      <c r="F785" s="11"/>
      <c r="G785" s="11"/>
    </row>
    <row r="786">
      <c r="F786" s="11"/>
      <c r="G786" s="11"/>
    </row>
    <row r="787">
      <c r="F787" s="11"/>
      <c r="G787" s="11"/>
    </row>
    <row r="788">
      <c r="F788" s="11"/>
      <c r="G788" s="11"/>
    </row>
    <row r="789">
      <c r="F789" s="11"/>
      <c r="G789" s="11"/>
    </row>
    <row r="790">
      <c r="F790" s="11"/>
      <c r="G790" s="11"/>
    </row>
    <row r="791">
      <c r="F791" s="11"/>
      <c r="G791" s="11"/>
    </row>
    <row r="792">
      <c r="F792" s="11"/>
      <c r="G792" s="11"/>
    </row>
    <row r="793">
      <c r="F793" s="11"/>
      <c r="G793" s="11"/>
    </row>
    <row r="794">
      <c r="F794" s="11"/>
      <c r="G794" s="11"/>
    </row>
    <row r="795">
      <c r="F795" s="11"/>
      <c r="G795" s="11"/>
    </row>
    <row r="796">
      <c r="F796" s="11"/>
      <c r="G796" s="11"/>
    </row>
    <row r="797">
      <c r="F797" s="11"/>
      <c r="G797" s="11"/>
    </row>
    <row r="798">
      <c r="F798" s="11"/>
      <c r="G798" s="11"/>
    </row>
    <row r="799">
      <c r="F799" s="11"/>
      <c r="G799" s="11"/>
    </row>
    <row r="800">
      <c r="F800" s="11"/>
      <c r="G800" s="11"/>
    </row>
    <row r="801">
      <c r="F801" s="11"/>
      <c r="G801" s="11"/>
    </row>
    <row r="802">
      <c r="F802" s="11"/>
      <c r="G802" s="11"/>
    </row>
    <row r="803">
      <c r="F803" s="11"/>
      <c r="G803" s="11"/>
    </row>
    <row r="804">
      <c r="F804" s="11"/>
      <c r="G804" s="11"/>
    </row>
    <row r="805">
      <c r="F805" s="11"/>
      <c r="G805" s="11"/>
    </row>
    <row r="806">
      <c r="F806" s="11"/>
      <c r="G806" s="11"/>
    </row>
    <row r="807">
      <c r="F807" s="11"/>
      <c r="G807" s="11"/>
    </row>
    <row r="808">
      <c r="F808" s="11"/>
      <c r="G808" s="11"/>
    </row>
    <row r="809">
      <c r="F809" s="11"/>
      <c r="G809" s="11"/>
    </row>
    <row r="810">
      <c r="F810" s="11"/>
      <c r="G810" s="11"/>
    </row>
    <row r="811">
      <c r="F811" s="11"/>
      <c r="G811" s="11"/>
    </row>
    <row r="812">
      <c r="F812" s="11"/>
      <c r="G812" s="11"/>
    </row>
    <row r="813">
      <c r="F813" s="11"/>
      <c r="G813" s="11"/>
    </row>
    <row r="814">
      <c r="F814" s="11"/>
      <c r="G814" s="11"/>
    </row>
    <row r="815">
      <c r="F815" s="11"/>
      <c r="G815" s="11"/>
    </row>
    <row r="816">
      <c r="F816" s="11"/>
      <c r="G816" s="11"/>
    </row>
    <row r="817">
      <c r="F817" s="11"/>
      <c r="G817" s="11"/>
    </row>
    <row r="818">
      <c r="F818" s="11"/>
      <c r="G818" s="11"/>
    </row>
    <row r="819">
      <c r="F819" s="11"/>
      <c r="G819" s="11"/>
    </row>
    <row r="820">
      <c r="F820" s="11"/>
      <c r="G820" s="11"/>
    </row>
    <row r="821">
      <c r="F821" s="11"/>
      <c r="G821" s="11"/>
    </row>
    <row r="822">
      <c r="F822" s="11"/>
      <c r="G822" s="11"/>
    </row>
    <row r="823">
      <c r="F823" s="11"/>
      <c r="G823" s="11"/>
    </row>
    <row r="824">
      <c r="F824" s="11"/>
      <c r="G824" s="11"/>
    </row>
    <row r="825">
      <c r="F825" s="11"/>
      <c r="G825" s="11"/>
    </row>
    <row r="826">
      <c r="F826" s="11"/>
      <c r="G826" s="11"/>
    </row>
    <row r="827">
      <c r="F827" s="11"/>
      <c r="G827" s="11"/>
    </row>
    <row r="828">
      <c r="F828" s="11"/>
      <c r="G828" s="11"/>
    </row>
    <row r="829">
      <c r="F829" s="11"/>
      <c r="G829" s="11"/>
    </row>
    <row r="830">
      <c r="F830" s="11"/>
      <c r="G830" s="11"/>
    </row>
    <row r="831">
      <c r="F831" s="11"/>
      <c r="G831" s="11"/>
    </row>
    <row r="832">
      <c r="F832" s="11"/>
      <c r="G832" s="11"/>
    </row>
    <row r="833">
      <c r="F833" s="11"/>
      <c r="G833" s="11"/>
    </row>
    <row r="834">
      <c r="F834" s="11"/>
      <c r="G834" s="11"/>
    </row>
    <row r="835">
      <c r="F835" s="11"/>
      <c r="G835" s="11"/>
    </row>
    <row r="836">
      <c r="F836" s="11"/>
      <c r="G836" s="11"/>
    </row>
    <row r="837">
      <c r="F837" s="11"/>
      <c r="G837" s="11"/>
    </row>
    <row r="838">
      <c r="F838" s="11"/>
      <c r="G838" s="11"/>
    </row>
    <row r="839">
      <c r="F839" s="11"/>
      <c r="G839" s="11"/>
    </row>
    <row r="840">
      <c r="F840" s="11"/>
      <c r="G840" s="11"/>
    </row>
    <row r="841">
      <c r="F841" s="11"/>
      <c r="G841" s="11"/>
    </row>
    <row r="842">
      <c r="F842" s="11"/>
      <c r="G842" s="11"/>
    </row>
    <row r="843">
      <c r="F843" s="11"/>
      <c r="G843" s="11"/>
    </row>
    <row r="844">
      <c r="F844" s="11"/>
      <c r="G844" s="11"/>
    </row>
    <row r="845">
      <c r="F845" s="11"/>
      <c r="G845" s="11"/>
    </row>
    <row r="846">
      <c r="F846" s="11"/>
      <c r="G846" s="11"/>
    </row>
    <row r="847">
      <c r="F847" s="11"/>
      <c r="G847" s="11"/>
    </row>
    <row r="848">
      <c r="F848" s="11"/>
      <c r="G848" s="11"/>
    </row>
    <row r="849">
      <c r="F849" s="11"/>
      <c r="G849" s="11"/>
    </row>
    <row r="850">
      <c r="F850" s="11"/>
      <c r="G850" s="11"/>
    </row>
    <row r="851">
      <c r="F851" s="11"/>
      <c r="G851" s="11"/>
    </row>
    <row r="852">
      <c r="F852" s="11"/>
      <c r="G852" s="11"/>
    </row>
    <row r="853">
      <c r="F853" s="11"/>
      <c r="G853" s="11"/>
    </row>
    <row r="854">
      <c r="F854" s="11"/>
      <c r="G854" s="11"/>
    </row>
    <row r="855">
      <c r="F855" s="11"/>
      <c r="G855" s="11"/>
    </row>
    <row r="856">
      <c r="F856" s="11"/>
      <c r="G856" s="11"/>
    </row>
    <row r="857">
      <c r="F857" s="11"/>
      <c r="G857" s="11"/>
    </row>
    <row r="858">
      <c r="F858" s="11"/>
      <c r="G858" s="11"/>
    </row>
    <row r="859">
      <c r="F859" s="11"/>
      <c r="G859" s="11"/>
    </row>
    <row r="860">
      <c r="F860" s="11"/>
      <c r="G860" s="11"/>
    </row>
    <row r="861">
      <c r="F861" s="11"/>
      <c r="G861" s="11"/>
    </row>
    <row r="862">
      <c r="F862" s="11"/>
      <c r="G862" s="11"/>
    </row>
    <row r="863">
      <c r="F863" s="11"/>
      <c r="G863" s="11"/>
    </row>
    <row r="864">
      <c r="F864" s="11"/>
      <c r="G864" s="11"/>
    </row>
    <row r="865">
      <c r="F865" s="11"/>
      <c r="G865" s="11"/>
    </row>
    <row r="866">
      <c r="F866" s="11"/>
      <c r="G866" s="11"/>
    </row>
    <row r="867">
      <c r="F867" s="11"/>
      <c r="G867" s="11"/>
    </row>
    <row r="868">
      <c r="F868" s="11"/>
      <c r="G868" s="11"/>
    </row>
    <row r="869">
      <c r="F869" s="11"/>
      <c r="G869" s="11"/>
    </row>
    <row r="870">
      <c r="F870" s="11"/>
      <c r="G870" s="11"/>
    </row>
    <row r="871">
      <c r="F871" s="11"/>
      <c r="G871" s="11"/>
    </row>
    <row r="872">
      <c r="F872" s="11"/>
      <c r="G872" s="11"/>
    </row>
    <row r="873">
      <c r="F873" s="11"/>
      <c r="G873" s="11"/>
    </row>
    <row r="874">
      <c r="F874" s="11"/>
      <c r="G874" s="11"/>
    </row>
    <row r="875">
      <c r="F875" s="11"/>
      <c r="G875" s="11"/>
    </row>
    <row r="876">
      <c r="F876" s="11"/>
      <c r="G876" s="11"/>
    </row>
    <row r="877">
      <c r="F877" s="11"/>
      <c r="G877" s="11"/>
    </row>
    <row r="878">
      <c r="F878" s="11"/>
      <c r="G878" s="11"/>
    </row>
    <row r="879">
      <c r="F879" s="11"/>
      <c r="G879" s="11"/>
    </row>
    <row r="880">
      <c r="F880" s="11"/>
      <c r="G880" s="11"/>
    </row>
    <row r="881">
      <c r="F881" s="11"/>
      <c r="G881" s="11"/>
    </row>
    <row r="882">
      <c r="F882" s="11"/>
      <c r="G882" s="11"/>
    </row>
    <row r="883">
      <c r="F883" s="11"/>
      <c r="G883" s="11"/>
    </row>
    <row r="884">
      <c r="F884" s="11"/>
      <c r="G884" s="11"/>
    </row>
    <row r="885">
      <c r="F885" s="11"/>
      <c r="G885" s="11"/>
    </row>
    <row r="886">
      <c r="F886" s="11"/>
      <c r="G886" s="11"/>
    </row>
    <row r="887">
      <c r="F887" s="11"/>
      <c r="G887" s="11"/>
    </row>
    <row r="888">
      <c r="F888" s="11"/>
      <c r="G888" s="11"/>
    </row>
    <row r="889">
      <c r="F889" s="11"/>
      <c r="G889" s="11"/>
    </row>
    <row r="890">
      <c r="F890" s="11"/>
      <c r="G890" s="11"/>
    </row>
    <row r="891">
      <c r="F891" s="11"/>
      <c r="G891" s="11"/>
    </row>
    <row r="892">
      <c r="F892" s="11"/>
      <c r="G892" s="11"/>
    </row>
    <row r="893">
      <c r="F893" s="11"/>
      <c r="G893" s="11"/>
    </row>
    <row r="894">
      <c r="F894" s="11"/>
      <c r="G894" s="11"/>
    </row>
    <row r="895">
      <c r="F895" s="11"/>
      <c r="G895" s="11"/>
    </row>
    <row r="896">
      <c r="F896" s="11"/>
      <c r="G896" s="11"/>
    </row>
    <row r="897">
      <c r="F897" s="11"/>
      <c r="G897" s="11"/>
    </row>
    <row r="898">
      <c r="F898" s="11"/>
      <c r="G898" s="11"/>
    </row>
    <row r="899">
      <c r="F899" s="11"/>
      <c r="G899" s="11"/>
    </row>
    <row r="900">
      <c r="F900" s="11"/>
      <c r="G900" s="11"/>
    </row>
    <row r="901">
      <c r="F901" s="11"/>
      <c r="G901" s="11"/>
    </row>
    <row r="902">
      <c r="F902" s="11"/>
      <c r="G902" s="11"/>
    </row>
    <row r="903">
      <c r="F903" s="11"/>
      <c r="G903" s="11"/>
    </row>
    <row r="904">
      <c r="F904" s="11"/>
      <c r="G904" s="11"/>
    </row>
    <row r="905">
      <c r="F905" s="11"/>
      <c r="G905" s="11"/>
    </row>
    <row r="906">
      <c r="F906" s="11"/>
      <c r="G906" s="11"/>
    </row>
    <row r="907">
      <c r="F907" s="11"/>
      <c r="G907" s="11"/>
    </row>
    <row r="908">
      <c r="F908" s="11"/>
      <c r="G908" s="11"/>
    </row>
    <row r="909">
      <c r="F909" s="11"/>
      <c r="G909" s="11"/>
    </row>
    <row r="910">
      <c r="F910" s="11"/>
      <c r="G910" s="11"/>
    </row>
    <row r="911">
      <c r="F911" s="11"/>
      <c r="G911" s="11"/>
    </row>
    <row r="912">
      <c r="F912" s="11"/>
      <c r="G912" s="11"/>
    </row>
    <row r="913">
      <c r="F913" s="11"/>
      <c r="G913" s="11"/>
    </row>
    <row r="914">
      <c r="F914" s="11"/>
      <c r="G914" s="11"/>
    </row>
    <row r="915">
      <c r="F915" s="11"/>
      <c r="G915" s="11"/>
    </row>
    <row r="916">
      <c r="F916" s="11"/>
      <c r="G916" s="11"/>
    </row>
    <row r="917">
      <c r="F917" s="11"/>
      <c r="G917" s="11"/>
    </row>
    <row r="918">
      <c r="F918" s="11"/>
      <c r="G918" s="11"/>
    </row>
    <row r="919">
      <c r="F919" s="11"/>
      <c r="G919" s="11"/>
    </row>
  </sheetData>
  <autoFilter ref="$A$2:$K$11"/>
  <mergeCells count="1">
    <mergeCell ref="A1:F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213</v>
      </c>
      <c r="B3" s="3" t="s">
        <v>214</v>
      </c>
      <c r="C3" s="3">
        <v>1.0</v>
      </c>
      <c r="D3" s="3">
        <v>0.0</v>
      </c>
      <c r="E3" s="17">
        <v>5.0</v>
      </c>
      <c r="F3" s="18">
        <v>200.0</v>
      </c>
      <c r="G3" s="32"/>
      <c r="H3" s="17">
        <v>1.0</v>
      </c>
      <c r="I3" s="5" t="str">
        <f t="shared" ref="I3:I14" si="1">CONCATENATE(H3,"/",C3)</f>
        <v>1/1</v>
      </c>
      <c r="J3" s="3">
        <f t="shared" ref="J3:J13" si="2">C3-H3</f>
        <v>0</v>
      </c>
      <c r="L3" s="27" t="str">
        <f>1+#REF!</f>
        <v>#REF!</v>
      </c>
      <c r="M3" s="27" t="str">
        <f>CONCATENATE(L3,". ",B3," - ",I3)</f>
        <v>#REF!</v>
      </c>
    </row>
    <row r="4">
      <c r="A4" s="3" t="s">
        <v>215</v>
      </c>
      <c r="B4" s="3" t="s">
        <v>216</v>
      </c>
      <c r="C4" s="3">
        <v>1.0</v>
      </c>
      <c r="D4" s="3"/>
      <c r="E4" s="17">
        <v>10.0</v>
      </c>
      <c r="F4" s="18">
        <v>145.0</v>
      </c>
      <c r="G4" s="32"/>
      <c r="H4" s="17">
        <v>1.0</v>
      </c>
      <c r="I4" s="5" t="str">
        <f t="shared" si="1"/>
        <v>1/1</v>
      </c>
      <c r="J4" s="3">
        <f t="shared" si="2"/>
        <v>0</v>
      </c>
    </row>
    <row r="5">
      <c r="A5" s="3" t="s">
        <v>217</v>
      </c>
      <c r="B5" s="3" t="s">
        <v>218</v>
      </c>
      <c r="C5" s="3">
        <v>3.0</v>
      </c>
      <c r="D5" s="3"/>
      <c r="E5" s="17">
        <v>8.0</v>
      </c>
      <c r="F5" s="18">
        <v>70.0</v>
      </c>
      <c r="G5" s="32"/>
      <c r="H5" s="17">
        <v>2.0</v>
      </c>
      <c r="I5" s="5" t="str">
        <f t="shared" si="1"/>
        <v>2/3</v>
      </c>
      <c r="J5" s="3">
        <f t="shared" si="2"/>
        <v>1</v>
      </c>
    </row>
    <row r="6">
      <c r="A6" s="3" t="s">
        <v>219</v>
      </c>
      <c r="B6" s="3" t="s">
        <v>220</v>
      </c>
      <c r="C6" s="3">
        <v>4.0</v>
      </c>
      <c r="D6" s="3"/>
      <c r="E6" s="17">
        <v>8.0</v>
      </c>
      <c r="F6" s="18">
        <v>60.0</v>
      </c>
      <c r="G6" s="32"/>
      <c r="H6" s="17">
        <v>2.0</v>
      </c>
      <c r="I6" s="5" t="str">
        <f t="shared" si="1"/>
        <v>2/4</v>
      </c>
      <c r="J6" s="3">
        <f t="shared" si="2"/>
        <v>2</v>
      </c>
    </row>
    <row r="7">
      <c r="A7" s="3" t="s">
        <v>221</v>
      </c>
      <c r="B7" s="3" t="s">
        <v>222</v>
      </c>
      <c r="C7" s="3">
        <v>3.0</v>
      </c>
      <c r="D7" s="3">
        <v>0.0</v>
      </c>
      <c r="E7" s="17">
        <v>8.0</v>
      </c>
      <c r="F7" s="18">
        <v>235.0</v>
      </c>
      <c r="G7" s="32"/>
      <c r="H7" s="17">
        <v>2.0</v>
      </c>
      <c r="I7" s="5" t="str">
        <f t="shared" si="1"/>
        <v>2/3</v>
      </c>
      <c r="J7" s="3">
        <f t="shared" si="2"/>
        <v>1</v>
      </c>
      <c r="L7" s="27" t="str">
        <f>1+#REF!</f>
        <v>#REF!</v>
      </c>
      <c r="M7" s="27" t="str">
        <f t="shared" ref="M7:M9" si="3">CONCATENATE(L7,". ",B7," - ",I7)</f>
        <v>#REF!</v>
      </c>
    </row>
    <row r="8">
      <c r="A8" s="36" t="s">
        <v>223</v>
      </c>
      <c r="B8" s="3" t="s">
        <v>224</v>
      </c>
      <c r="C8" s="3">
        <v>3.0</v>
      </c>
      <c r="D8" s="37"/>
      <c r="E8" s="17">
        <v>10.0</v>
      </c>
      <c r="F8" s="18">
        <v>1383.0</v>
      </c>
      <c r="G8" s="32"/>
      <c r="H8" s="17">
        <v>2.0</v>
      </c>
      <c r="I8" s="5" t="str">
        <f t="shared" si="1"/>
        <v>2/3</v>
      </c>
      <c r="J8" s="3">
        <f t="shared" si="2"/>
        <v>1</v>
      </c>
      <c r="L8" s="27" t="str">
        <f t="shared" ref="L8:L9" si="4">1+L7</f>
        <v>#REF!</v>
      </c>
      <c r="M8" s="27" t="str">
        <f t="shared" si="3"/>
        <v>#REF!</v>
      </c>
    </row>
    <row r="9">
      <c r="A9" s="36" t="s">
        <v>225</v>
      </c>
      <c r="B9" s="3" t="s">
        <v>226</v>
      </c>
      <c r="C9" s="3">
        <v>3.0</v>
      </c>
      <c r="D9" s="37"/>
      <c r="E9" s="17">
        <v>19.0</v>
      </c>
      <c r="F9" s="4">
        <v>3060.2</v>
      </c>
      <c r="G9" s="32"/>
      <c r="H9" s="17">
        <v>1.0</v>
      </c>
      <c r="I9" s="5" t="str">
        <f t="shared" si="1"/>
        <v>1/3</v>
      </c>
      <c r="J9" s="3">
        <f t="shared" si="2"/>
        <v>2</v>
      </c>
      <c r="L9" s="27" t="str">
        <f t="shared" si="4"/>
        <v>#REF!</v>
      </c>
      <c r="M9" s="27" t="str">
        <f t="shared" si="3"/>
        <v>#REF!</v>
      </c>
    </row>
    <row r="10">
      <c r="A10" s="3" t="s">
        <v>227</v>
      </c>
      <c r="B10" s="3" t="s">
        <v>228</v>
      </c>
      <c r="C10" s="3">
        <v>4.0</v>
      </c>
      <c r="D10" s="3"/>
      <c r="E10" s="17">
        <v>5.0</v>
      </c>
      <c r="F10" s="18">
        <v>30.0</v>
      </c>
      <c r="G10" s="32"/>
      <c r="H10" s="17">
        <v>1.0</v>
      </c>
      <c r="I10" s="5" t="str">
        <f t="shared" si="1"/>
        <v>1/4</v>
      </c>
      <c r="J10" s="3">
        <f t="shared" si="2"/>
        <v>3</v>
      </c>
    </row>
    <row r="11">
      <c r="A11" s="3" t="s">
        <v>229</v>
      </c>
      <c r="B11" s="3" t="s">
        <v>230</v>
      </c>
      <c r="C11" s="3">
        <v>7.0</v>
      </c>
      <c r="D11" s="3"/>
      <c r="E11" s="17">
        <v>21.0</v>
      </c>
      <c r="F11" s="18">
        <v>303.5</v>
      </c>
      <c r="G11" s="32"/>
      <c r="H11" s="17">
        <v>4.0</v>
      </c>
      <c r="I11" s="5" t="str">
        <f t="shared" si="1"/>
        <v>4/7</v>
      </c>
      <c r="J11" s="3">
        <f t="shared" si="2"/>
        <v>3</v>
      </c>
    </row>
    <row r="12">
      <c r="A12" s="3" t="s">
        <v>231</v>
      </c>
      <c r="B12" s="3" t="s">
        <v>232</v>
      </c>
      <c r="C12" s="3">
        <v>5.0</v>
      </c>
      <c r="D12" s="3"/>
      <c r="E12" s="17">
        <v>6.0</v>
      </c>
      <c r="F12" s="18">
        <v>123.0</v>
      </c>
      <c r="G12" s="32"/>
      <c r="H12" s="17">
        <v>2.0</v>
      </c>
      <c r="I12" s="5" t="str">
        <f t="shared" si="1"/>
        <v>2/5</v>
      </c>
      <c r="J12" s="3">
        <f t="shared" si="2"/>
        <v>3</v>
      </c>
      <c r="L12" s="27" t="str">
        <f>1+#REF!</f>
        <v>#REF!</v>
      </c>
      <c r="M12" s="27" t="str">
        <f t="shared" ref="M12:M13" si="5">CONCATENATE(L12,". ",B12," - ",I12)</f>
        <v>#REF!</v>
      </c>
    </row>
    <row r="13">
      <c r="A13" s="3" t="s">
        <v>233</v>
      </c>
      <c r="B13" s="3" t="s">
        <v>234</v>
      </c>
      <c r="C13" s="3">
        <v>1.0</v>
      </c>
      <c r="D13" s="3">
        <v>0.0</v>
      </c>
      <c r="E13" s="17">
        <v>13.0</v>
      </c>
      <c r="F13" s="18">
        <v>122.0</v>
      </c>
      <c r="G13" s="32"/>
      <c r="H13" s="17">
        <v>3.0</v>
      </c>
      <c r="I13" s="5" t="str">
        <f t="shared" si="1"/>
        <v>3/1</v>
      </c>
      <c r="J13" s="3">
        <f t="shared" si="2"/>
        <v>-2</v>
      </c>
      <c r="L13" s="27" t="str">
        <f>1+L12</f>
        <v>#REF!</v>
      </c>
      <c r="M13" s="27" t="str">
        <f t="shared" si="5"/>
        <v>#REF!</v>
      </c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</row>
    <row r="14">
      <c r="A14" s="20" t="s">
        <v>42</v>
      </c>
      <c r="B14" s="21"/>
      <c r="C14" s="21">
        <f>SUM(C3:C13)</f>
        <v>35</v>
      </c>
      <c r="D14" s="21">
        <f>SUM(D7:D12)</f>
        <v>0</v>
      </c>
      <c r="E14" s="21">
        <f t="shared" ref="E14:F14" si="6">SUM(E3:E13)</f>
        <v>113</v>
      </c>
      <c r="F14" s="22">
        <f t="shared" si="6"/>
        <v>5731.7</v>
      </c>
      <c r="G14" s="21">
        <f>SUM(G7:G12)</f>
        <v>0</v>
      </c>
      <c r="H14" s="21">
        <f>SUM(H3:H13)</f>
        <v>21</v>
      </c>
      <c r="I14" s="23" t="str">
        <f t="shared" si="1"/>
        <v>21/35</v>
      </c>
      <c r="J14" s="21">
        <f>SUM(J7:J12)</f>
        <v>13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  <row r="922">
      <c r="F922" s="11"/>
    </row>
  </sheetData>
  <autoFilter ref="$A$2:$J$14"/>
  <mergeCells count="1">
    <mergeCell ref="A1:F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235</v>
      </c>
      <c r="B3" s="3" t="s">
        <v>236</v>
      </c>
      <c r="C3" s="3">
        <v>2.0</v>
      </c>
      <c r="D3" s="3"/>
      <c r="E3" s="17">
        <v>8.0</v>
      </c>
      <c r="F3" s="18">
        <v>220.0</v>
      </c>
      <c r="G3" s="32"/>
      <c r="H3" s="17">
        <v>2.0</v>
      </c>
      <c r="I3" s="5" t="str">
        <f t="shared" ref="I3:I7" si="1">CONCATENATE(H3,"/",C3)</f>
        <v>2/2</v>
      </c>
      <c r="J3" s="3">
        <f t="shared" ref="J3:J7" si="2">C3-H3</f>
        <v>0</v>
      </c>
      <c r="L3" s="27" t="str">
        <f t="shared" ref="L3:L5" si="3">1+#REF!</f>
        <v>#REF!</v>
      </c>
      <c r="M3" s="27" t="str">
        <f t="shared" ref="M3:M7" si="4">CONCATENATE(L3,". ",B3," - ",I3)</f>
        <v>#REF!</v>
      </c>
    </row>
    <row r="4">
      <c r="A4" s="3" t="s">
        <v>237</v>
      </c>
      <c r="B4" s="3" t="s">
        <v>238</v>
      </c>
      <c r="C4" s="3">
        <v>3.0</v>
      </c>
      <c r="D4" s="3"/>
      <c r="E4" s="17">
        <v>0.0</v>
      </c>
      <c r="F4" s="18">
        <v>0.0</v>
      </c>
      <c r="G4" s="32"/>
      <c r="H4" s="17">
        <v>0.0</v>
      </c>
      <c r="I4" s="5" t="str">
        <f t="shared" si="1"/>
        <v>0/3</v>
      </c>
      <c r="J4" s="3">
        <f t="shared" si="2"/>
        <v>3</v>
      </c>
      <c r="L4" s="27" t="str">
        <f t="shared" si="3"/>
        <v>#REF!</v>
      </c>
      <c r="M4" s="27" t="str">
        <f t="shared" si="4"/>
        <v>#REF!</v>
      </c>
    </row>
    <row r="5">
      <c r="A5" s="3" t="s">
        <v>239</v>
      </c>
      <c r="B5" s="3" t="s">
        <v>240</v>
      </c>
      <c r="C5" s="3">
        <v>3.0</v>
      </c>
      <c r="D5" s="3"/>
      <c r="E5" s="17">
        <v>6.0</v>
      </c>
      <c r="F5" s="18">
        <v>120.0</v>
      </c>
      <c r="G5" s="32"/>
      <c r="H5" s="17">
        <v>2.0</v>
      </c>
      <c r="I5" s="5" t="str">
        <f t="shared" si="1"/>
        <v>2/3</v>
      </c>
      <c r="J5" s="3">
        <f t="shared" si="2"/>
        <v>1</v>
      </c>
      <c r="L5" s="27" t="str">
        <f t="shared" si="3"/>
        <v>#REF!</v>
      </c>
      <c r="M5" s="27" t="str">
        <f t="shared" si="4"/>
        <v>#REF!</v>
      </c>
    </row>
    <row r="6">
      <c r="A6" s="3" t="s">
        <v>241</v>
      </c>
      <c r="B6" s="3" t="s">
        <v>242</v>
      </c>
      <c r="C6" s="3">
        <v>12.0</v>
      </c>
      <c r="D6" s="3"/>
      <c r="E6" s="17">
        <v>38.0</v>
      </c>
      <c r="F6" s="18">
        <v>654.13</v>
      </c>
      <c r="G6" s="32"/>
      <c r="H6" s="17">
        <v>8.0</v>
      </c>
      <c r="I6" s="5" t="str">
        <f t="shared" si="1"/>
        <v>8/12</v>
      </c>
      <c r="J6" s="3">
        <f t="shared" si="2"/>
        <v>4</v>
      </c>
      <c r="L6" s="27" t="str">
        <f t="shared" ref="L6:L7" si="5">1+L5</f>
        <v>#REF!</v>
      </c>
      <c r="M6" s="27" t="str">
        <f t="shared" si="4"/>
        <v>#REF!</v>
      </c>
    </row>
    <row r="7">
      <c r="A7" s="3" t="s">
        <v>243</v>
      </c>
      <c r="B7" s="28" t="s">
        <v>244</v>
      </c>
      <c r="C7" s="3">
        <v>1.0</v>
      </c>
      <c r="D7" s="3"/>
      <c r="E7" s="17">
        <v>0.0</v>
      </c>
      <c r="F7" s="18">
        <v>0.0</v>
      </c>
      <c r="G7" s="32"/>
      <c r="H7" s="17">
        <v>0.0</v>
      </c>
      <c r="I7" s="5" t="str">
        <f t="shared" si="1"/>
        <v>0/1</v>
      </c>
      <c r="J7" s="3">
        <f t="shared" si="2"/>
        <v>1</v>
      </c>
      <c r="L7" s="27" t="str">
        <f t="shared" si="5"/>
        <v>#REF!</v>
      </c>
      <c r="M7" s="27" t="str">
        <f t="shared" si="4"/>
        <v>#REF!</v>
      </c>
    </row>
    <row r="8" hidden="1">
      <c r="A8" s="36" t="s">
        <v>245</v>
      </c>
      <c r="B8" s="37"/>
      <c r="C8" s="37"/>
      <c r="D8" s="37"/>
      <c r="E8" s="36"/>
      <c r="F8" s="36"/>
      <c r="G8" s="37"/>
      <c r="H8" s="36"/>
      <c r="I8" s="64"/>
      <c r="J8" s="37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</row>
    <row r="9">
      <c r="A9" s="20" t="s">
        <v>42</v>
      </c>
      <c r="B9" s="21"/>
      <c r="C9" s="21">
        <f>SUM(C3:C7)</f>
        <v>21</v>
      </c>
      <c r="D9" s="21">
        <f>SUM(D5:D7)</f>
        <v>0</v>
      </c>
      <c r="E9" s="21">
        <f t="shared" ref="E9:F9" si="6">SUM(E3:E8)</f>
        <v>52</v>
      </c>
      <c r="F9" s="22">
        <f t="shared" si="6"/>
        <v>994.13</v>
      </c>
      <c r="G9" s="21">
        <f>SUM(G3:G7)</f>
        <v>0</v>
      </c>
      <c r="H9" s="21">
        <f>SUM(H3:H8)</f>
        <v>12</v>
      </c>
      <c r="I9" s="23" t="str">
        <f>CONCATENATE(H9,"/",C9)</f>
        <v>12/21</v>
      </c>
      <c r="J9" s="21">
        <f>SUM(J3:J7)</f>
        <v>9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</row>
    <row r="10">
      <c r="F10" s="11"/>
    </row>
    <row r="11">
      <c r="F11" s="11"/>
    </row>
    <row r="12">
      <c r="F12" s="11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</sheetData>
  <autoFilter ref="$A$2:$J$9"/>
  <mergeCells count="1">
    <mergeCell ref="A1:F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0"/>
    <col customWidth="1" min="2" max="2" width="25.13"/>
    <col customWidth="1" min="3" max="3" width="16.13"/>
    <col hidden="1" min="4" max="4" width="12.63"/>
    <col customWidth="1" min="5" max="5" width="9.13"/>
    <col customWidth="1" min="6" max="6" width="9.75"/>
    <col customWidth="1" hidden="1" min="7" max="7" width="15.63"/>
    <col customWidth="1" min="8" max="8" width="15.63"/>
    <col customWidth="1" min="9" max="9" width="17.88"/>
    <col customWidth="1" min="10" max="10" width="18.13"/>
    <col hidden="1" min="12" max="13" width="12.63"/>
  </cols>
  <sheetData>
    <row r="1">
      <c r="A1" s="12" t="s">
        <v>34</v>
      </c>
      <c r="B1" s="13"/>
      <c r="C1" s="13"/>
      <c r="D1" s="13"/>
      <c r="E1" s="13"/>
      <c r="F1" s="14"/>
      <c r="G1" s="16"/>
      <c r="H1" s="16"/>
      <c r="I1" s="16"/>
      <c r="J1" s="1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1" t="s">
        <v>35</v>
      </c>
      <c r="B2" s="1" t="s">
        <v>36</v>
      </c>
      <c r="C2" s="1" t="s">
        <v>2</v>
      </c>
      <c r="D2" s="1" t="s">
        <v>37</v>
      </c>
      <c r="E2" s="1" t="s">
        <v>3</v>
      </c>
      <c r="F2" s="2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3" t="s">
        <v>246</v>
      </c>
      <c r="B3" s="3" t="s">
        <v>247</v>
      </c>
      <c r="C3" s="3">
        <v>1.0</v>
      </c>
      <c r="D3" s="3"/>
      <c r="E3" s="17">
        <v>4.0</v>
      </c>
      <c r="F3" s="18">
        <v>100.0</v>
      </c>
      <c r="G3" s="32"/>
      <c r="H3" s="17">
        <v>1.0</v>
      </c>
      <c r="I3" s="5" t="str">
        <f t="shared" ref="I3:I9" si="1">CONCATENATE(H3,"/",C3)</f>
        <v>1/1</v>
      </c>
      <c r="J3" s="3">
        <f t="shared" ref="J3:J8" si="2">C3-H3</f>
        <v>0</v>
      </c>
    </row>
    <row r="4">
      <c r="A4" s="3" t="s">
        <v>248</v>
      </c>
      <c r="B4" s="3" t="s">
        <v>249</v>
      </c>
      <c r="C4" s="3">
        <v>4.0</v>
      </c>
      <c r="D4" s="3"/>
      <c r="E4" s="17">
        <v>7.0</v>
      </c>
      <c r="F4" s="17">
        <v>21.0</v>
      </c>
      <c r="G4" s="17"/>
      <c r="H4" s="17">
        <v>1.0</v>
      </c>
      <c r="I4" s="5" t="str">
        <f t="shared" si="1"/>
        <v>1/4</v>
      </c>
      <c r="J4" s="3">
        <f t="shared" si="2"/>
        <v>3</v>
      </c>
      <c r="L4" s="27" t="str">
        <f>1+#REF!</f>
        <v>#REF!</v>
      </c>
      <c r="M4" s="27" t="str">
        <f>CONCATENATE(L4,". ",B4," - ",I4)</f>
        <v>#REF!</v>
      </c>
    </row>
    <row r="5">
      <c r="A5" s="3" t="s">
        <v>250</v>
      </c>
      <c r="B5" s="3" t="s">
        <v>251</v>
      </c>
      <c r="C5" s="3">
        <v>3.0</v>
      </c>
      <c r="D5" s="3"/>
      <c r="E5" s="17">
        <v>8.0</v>
      </c>
      <c r="F5" s="18">
        <v>150.0</v>
      </c>
      <c r="G5" s="32"/>
      <c r="H5" s="17">
        <v>2.0</v>
      </c>
      <c r="I5" s="5" t="str">
        <f t="shared" si="1"/>
        <v>2/3</v>
      </c>
      <c r="J5" s="3">
        <f t="shared" si="2"/>
        <v>1</v>
      </c>
    </row>
    <row r="6">
      <c r="A6" s="3" t="s">
        <v>252</v>
      </c>
      <c r="B6" s="3" t="s">
        <v>253</v>
      </c>
      <c r="C6" s="3">
        <v>1.0</v>
      </c>
      <c r="D6" s="3"/>
      <c r="E6" s="17">
        <v>0.0</v>
      </c>
      <c r="F6" s="17">
        <v>0.0</v>
      </c>
      <c r="G6" s="17"/>
      <c r="H6" s="17">
        <v>0.0</v>
      </c>
      <c r="I6" s="5" t="str">
        <f t="shared" si="1"/>
        <v>0/1</v>
      </c>
      <c r="J6" s="3">
        <f t="shared" si="2"/>
        <v>1</v>
      </c>
      <c r="L6" s="27" t="str">
        <f>1+L4</f>
        <v>#REF!</v>
      </c>
      <c r="M6" s="27" t="str">
        <f t="shared" ref="M6:M8" si="3">CONCATENATE(L6,". ",B6," - ",I6)</f>
        <v>#REF!</v>
      </c>
    </row>
    <row r="7">
      <c r="A7" s="3" t="s">
        <v>254</v>
      </c>
      <c r="B7" s="28" t="s">
        <v>255</v>
      </c>
      <c r="C7" s="3">
        <v>1.0</v>
      </c>
      <c r="D7" s="3"/>
      <c r="E7" s="17">
        <v>6.0</v>
      </c>
      <c r="F7" s="18">
        <v>109.0</v>
      </c>
      <c r="G7" s="32"/>
      <c r="H7" s="17">
        <v>1.0</v>
      </c>
      <c r="I7" s="5" t="str">
        <f t="shared" si="1"/>
        <v>1/1</v>
      </c>
      <c r="J7" s="3">
        <f t="shared" si="2"/>
        <v>0</v>
      </c>
      <c r="L7" s="27" t="str">
        <f t="shared" ref="L7:L8" si="4">1+L6</f>
        <v>#REF!</v>
      </c>
      <c r="M7" s="27" t="str">
        <f t="shared" si="3"/>
        <v>#REF!</v>
      </c>
    </row>
    <row r="8">
      <c r="A8" s="3" t="s">
        <v>256</v>
      </c>
      <c r="B8" s="3" t="s">
        <v>257</v>
      </c>
      <c r="C8" s="3">
        <v>2.0</v>
      </c>
      <c r="D8" s="3"/>
      <c r="E8" s="17">
        <v>8.0</v>
      </c>
      <c r="F8" s="18">
        <v>97.0</v>
      </c>
      <c r="G8" s="32"/>
      <c r="H8" s="17">
        <v>2.0</v>
      </c>
      <c r="I8" s="5" t="str">
        <f t="shared" si="1"/>
        <v>2/2</v>
      </c>
      <c r="J8" s="3">
        <f t="shared" si="2"/>
        <v>0</v>
      </c>
      <c r="L8" s="27" t="str">
        <f t="shared" si="4"/>
        <v>#REF!</v>
      </c>
      <c r="M8" s="27" t="str">
        <f t="shared" si="3"/>
        <v>#REF!</v>
      </c>
    </row>
    <row r="9">
      <c r="A9" s="20" t="s">
        <v>42</v>
      </c>
      <c r="B9" s="21"/>
      <c r="C9" s="21">
        <f>SUM(C3:C8)</f>
        <v>12</v>
      </c>
      <c r="D9" s="21">
        <f>SUM(D4:D8)</f>
        <v>0</v>
      </c>
      <c r="E9" s="21">
        <f t="shared" ref="E9:F9" si="5">SUM(E3:E8)</f>
        <v>33</v>
      </c>
      <c r="F9" s="22">
        <f t="shared" si="5"/>
        <v>477</v>
      </c>
      <c r="G9" s="21">
        <f>SUM(G4:G8)</f>
        <v>0</v>
      </c>
      <c r="H9" s="21">
        <f>SUM(H3:H8)</f>
        <v>7</v>
      </c>
      <c r="I9" s="23" t="str">
        <f t="shared" si="1"/>
        <v>7/12</v>
      </c>
      <c r="J9" s="21">
        <f>SUM(J4:J8)</f>
        <v>5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</row>
    <row r="10">
      <c r="F10" s="11"/>
    </row>
    <row r="11">
      <c r="F11" s="11"/>
    </row>
    <row r="12">
      <c r="F12" s="11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</sheetData>
  <autoFilter ref="$A$2:$J$9"/>
  <mergeCells count="1">
    <mergeCell ref="A1:F1"/>
  </mergeCells>
  <drawing r:id="rId1"/>
</worksheet>
</file>